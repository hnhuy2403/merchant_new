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4" autoFilterDateGrouping="1"/>
  </bookViews>
  <sheets>
    <sheet name="Trang bìa" sheetId="1" state="visible" r:id="rId1"/>
    <sheet name="Giới thiệu" sheetId="2" state="visible" r:id="rId2"/>
    <sheet name="Tổng hợp " sheetId="3" state="visible" r:id="rId3"/>
    <sheet name="Cấp lại mật khẩu" sheetId="4" state="hidden" r:id="rId4"/>
    <sheet name="template" sheetId="5" state="visible" r:id="rId5"/>
    <sheet name="Note" sheetId="6" state="visible" r:id="rId6"/>
  </sheets>
  <externalReferences>
    <externalReference r:id="rId7"/>
  </externalReferences>
  <definedNames>
    <definedName name="_Fill" hidden="1">#REF!</definedName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ocument_array">{"Book1"}</definedName>
    <definedName name="DSLCheckService">[1]Validation!$H$2:$H$4</definedName>
    <definedName name="fds">{"Book1"}</definedName>
    <definedName name="Gói">#REF!</definedName>
    <definedName name="Ma_testcase_34">#REF!</definedName>
    <definedName name="Port">[1]Validation!$F$2:$F$40</definedName>
    <definedName name="QLDH_TDTT_41">#REF!</definedName>
    <definedName name="QLHD_CDHD_15">#REF!</definedName>
    <definedName name="QLHD_CNHD_34">#REF!</definedName>
    <definedName name="QLHD_GHD_34">#REF!</definedName>
    <definedName name="QLHD_HHD_13">#REF!</definedName>
    <definedName name="QLHD_KHD_6">#REF!</definedName>
    <definedName name="QLHD_TH_1">#REF!</definedName>
    <definedName name="QLHD_THD_34">#REF!</definedName>
    <definedName name="Tên_TestCase">#REF!</definedName>
    <definedName name="VancoProducts">[1]Validation!$B$2:$B$4</definedName>
    <definedName name="Document_array" localSheetId="0">{"Book1"}</definedName>
    <definedName name="fds" localSheetId="0">{"Book1"}</definedName>
    <definedName name="_Fill" localSheetId="1" hidden="1">#REF!</definedName>
    <definedName name="ACTION" localSheetId="1">#REF!</definedName>
    <definedName name="Document_array" localSheetId="1">{"Book1"}</definedName>
    <definedName name="fds" localSheetId="1">{"Book1"}</definedName>
    <definedName name="Gói" localSheetId="1">#REF!</definedName>
    <definedName name="Ma_testcase_34" localSheetId="1">#REF!</definedName>
    <definedName name="QLDH_TDTT_41" localSheetId="1">#REF!</definedName>
    <definedName name="QLHD_CDHD_15" localSheetId="1">#REF!</definedName>
    <definedName name="QLHD_CNHD_34" localSheetId="1">#REF!</definedName>
    <definedName name="QLHD_GHD_34" localSheetId="1">#REF!</definedName>
    <definedName name="QLHD_HHD_13" localSheetId="1">#REF!</definedName>
    <definedName name="QLHD_KHD_6" localSheetId="1">#REF!</definedName>
    <definedName name="QLHD_TH_1" localSheetId="1">#REF!</definedName>
    <definedName name="QLHD_THD_34" localSheetId="1">#REF!</definedName>
    <definedName name="Tên_TestCase" localSheetId="1">#REF!</definedName>
    <definedName name="_Fill" localSheetId="2" hidden="1">#REF!</definedName>
    <definedName name="ACTION" localSheetId="2">#REF!</definedName>
    <definedName name="Document_array" localSheetId="2">{"Book1"}</definedName>
    <definedName name="fds" localSheetId="2">{"Book1"}</definedName>
    <definedName name="Gói" localSheetId="2">#REF!</definedName>
    <definedName name="Ma_testcase_34" localSheetId="2">#REF!</definedName>
    <definedName name="QLDH_TDTT_41" localSheetId="2">#REF!</definedName>
    <definedName name="QLHD_CDHD_15" localSheetId="2">#REF!</definedName>
    <definedName name="QLHD_CNHD_34" localSheetId="2">#REF!</definedName>
    <definedName name="QLHD_GHD_34" localSheetId="2">#REF!</definedName>
    <definedName name="QLHD_HHD_13" localSheetId="2">#REF!</definedName>
    <definedName name="QLHD_KHD_6" localSheetId="2">#REF!</definedName>
    <definedName name="QLHD_TH_1" localSheetId="2">#REF!</definedName>
    <definedName name="QLHD_THD_34" localSheetId="2">#REF!</definedName>
    <definedName name="Tên_TestCase" localSheetId="2">#REF!</definedName>
    <definedName name="_Fill" localSheetId="3" hidden="1">#REF!</definedName>
    <definedName name="ACTION" localSheetId="3">#REF!</definedName>
    <definedName name="Document_array" localSheetId="3">{"Book1"}</definedName>
    <definedName name="fds" localSheetId="3">{"Book1"}</definedName>
    <definedName name="Ma_testcase_34" localSheetId="3">#REF!</definedName>
    <definedName name="QLDH_TDTT_41" localSheetId="3">#REF!</definedName>
    <definedName name="QLHD_CDHD_15" localSheetId="3">#REF!</definedName>
    <definedName name="QLHD_CNHD_34" localSheetId="3">#REF!</definedName>
    <definedName name="QLHD_GHD_34" localSheetId="3">#REF!</definedName>
    <definedName name="QLHD_HHD_13" localSheetId="3">#REF!</definedName>
    <definedName name="QLHD_KHD_6" localSheetId="3">#REF!</definedName>
    <definedName name="QLHD_TH_1" localSheetId="3">#REF!</definedName>
    <definedName name="QLHD_THD_34" localSheetId="3">#REF!</definedName>
    <definedName name="Tên_TestCase" localSheetId="3">#REF!</definedName>
    <definedName name="_Fill" localSheetId="4" hidden="1">#REF!</definedName>
    <definedName name="ACTION" localSheetId="4">#REF!</definedName>
    <definedName name="Document_array" localSheetId="4">{"Book1"}</definedName>
    <definedName name="fds" localSheetId="4">{"Book1"}</definedName>
    <definedName name="Gói" localSheetId="4">#REF!</definedName>
    <definedName name="Ma_testcase_34" localSheetId="4">#REF!</definedName>
    <definedName name="QLDH_TDTT_41" localSheetId="4">#REF!</definedName>
    <definedName name="QLHD_CDHD_15" localSheetId="4">#REF!</definedName>
    <definedName name="QLHD_CNHD_34" localSheetId="4">#REF!</definedName>
    <definedName name="QLHD_GHD_34" localSheetId="4">#REF!</definedName>
    <definedName name="QLHD_HHD_13" localSheetId="4">#REF!</definedName>
    <definedName name="QLHD_KHD_6" localSheetId="4">#REF!</definedName>
    <definedName name="QLHD_TH_1" localSheetId="4">#REF!</definedName>
    <definedName name="QLHD_THD_34" localSheetId="4">#REF!</definedName>
    <definedName name="Tên_TestCase" localSheetId="4">#REF!</definedName>
    <definedName name="_xlnm._FilterDatabase" localSheetId="4" hidden="1">'template'!$N$1:$N$19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1">
    <font>
      <name val="Arial"/>
      <charset val="1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b val="1"/>
      <sz val="14"/>
    </font>
    <font>
      <name val="Times New Roman"/>
      <family val="1"/>
      <b val="1"/>
      <sz val="12"/>
    </font>
    <font>
      <name val="Times New Roman"/>
      <family val="1"/>
      <b val="1"/>
      <sz val="18"/>
    </font>
    <font>
      <name val="Times New Roman"/>
      <family val="1"/>
      <b val="1"/>
      <sz val="24"/>
    </font>
    <font>
      <name val="Times New Roman"/>
      <family val="1"/>
      <b val="1"/>
      <sz val="22"/>
    </font>
    <font>
      <name val="Times New Roman"/>
      <family val="1"/>
      <sz val="16"/>
    </font>
    <font>
      <name val="Times New Roman"/>
      <family val="1"/>
      <b val="1"/>
      <i val="1"/>
      <sz val="10"/>
    </font>
    <font>
      <name val="Times New Roman"/>
      <family val="1"/>
      <b val="1"/>
      <sz val="20"/>
    </font>
    <font>
      <name val="Times New Roman"/>
      <family val="1"/>
      <sz val="11"/>
    </font>
    <font>
      <name val="Arial"/>
      <family val="2"/>
      <b val="1"/>
      <sz val="20"/>
    </font>
    <font>
      <name val="Arial"/>
      <family val="2"/>
      <b val="1"/>
      <sz val="10"/>
    </font>
    <font>
      <name val="Calibri"/>
      <family val="2"/>
      <color theme="10"/>
      <sz val="11"/>
      <u val="single"/>
      <scheme val="minor"/>
    </font>
    <font>
      <name val="Times New Roman"/>
      <family val="1"/>
      <b val="1"/>
      <color indexed="8"/>
      <sz val="20"/>
    </font>
    <font>
      <name val="Times New Roman"/>
      <family val="1"/>
      <color indexed="8"/>
      <sz val="10"/>
    </font>
    <font>
      <name val="Times New Roman"/>
      <family val="1"/>
      <b val="1"/>
      <color indexed="8"/>
      <sz val="12"/>
    </font>
    <font>
      <name val="Times New Roman"/>
      <family val="1"/>
      <sz val="12"/>
    </font>
    <font>
      <name val="Times New Roman"/>
      <family val="1"/>
      <b val="1"/>
      <i val="1"/>
      <sz val="12"/>
    </font>
    <font>
      <name val="Arial"/>
      <charset val="163"/>
      <family val="2"/>
      <sz val="10"/>
    </font>
    <font>
      <name val="Calibri"/>
      <family val="2"/>
      <color theme="1"/>
      <sz val="12"/>
      <scheme val="minor"/>
    </font>
    <font>
      <name val="Times New Roman"/>
      <family val="1"/>
      <sz val="12"/>
      <u val="single"/>
    </font>
    <font>
      <name val="Calibri"/>
      <family val="2"/>
      <b val="1"/>
      <color rgb="FF0070C0"/>
      <sz val="12"/>
      <scheme val="minor"/>
    </font>
    <font>
      <name val="Times New Roman"/>
      <family val="1"/>
      <b val="1"/>
      <color rgb="FF0070C0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0"/>
    </font>
    <font>
      <name val="Calibri"/>
      <family val="2"/>
      <sz val="11"/>
      <scheme val="minor"/>
    </font>
    <font>
      <name val="Arial Unicode MS"/>
      <color rgb="FFCC7832"/>
      <sz val="10"/>
    </font>
    <font>
      <name val="Arial Unicode MS"/>
      <color rgb="FFA9B7C6"/>
      <sz val="10"/>
    </font>
    <font>
      <name val="Arial Unicode MS"/>
      <color rgb="FFFFC66D"/>
      <sz val="10"/>
    </font>
    <font>
      <name val="Arial Unicode MS"/>
      <color rgb="FF9876AA"/>
      <sz val="10"/>
    </font>
    <font>
      <name val="Arial Unicode MS"/>
      <color rgb="FF6A8759"/>
      <sz val="10"/>
    </font>
    <font>
      <name val="Arial Unicode MS"/>
      <color rgb="FF808080"/>
      <sz val="10"/>
    </font>
    <font>
      <name val="Arial Unicode MS"/>
      <color rgb="FF6897BB"/>
      <sz val="10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2">
    <xf numFmtId="0" fontId="0" fillId="0" borderId="0"/>
    <xf numFmtId="0" fontId="5" fillId="0" borderId="0"/>
    <xf numFmtId="0" fontId="5" fillId="0" borderId="0"/>
    <xf numFmtId="0" fontId="4" fillId="0" borderId="0"/>
    <xf numFmtId="0" fontId="19" fillId="0" borderId="0"/>
    <xf numFmtId="0" fontId="4" fillId="0" borderId="0"/>
    <xf numFmtId="9" fontId="5" fillId="0" borderId="0"/>
    <xf numFmtId="9" fontId="4" fillId="0" borderId="0"/>
    <xf numFmtId="0" fontId="4" fillId="0" borderId="0"/>
    <xf numFmtId="0" fontId="4" fillId="0" borderId="0"/>
    <xf numFmtId="0" fontId="25" fillId="0" borderId="0"/>
    <xf numFmtId="0" fontId="4" fillId="0" borderId="0"/>
  </cellStyleXfs>
  <cellXfs count="202">
    <xf numFmtId="0" fontId="0" fillId="0" borderId="0" pivotButton="0" quotePrefix="0" xfId="0"/>
    <xf numFmtId="0" fontId="6" fillId="0" borderId="0" pivotButton="0" quotePrefix="0" xfId="2"/>
    <xf numFmtId="0" fontId="12" fillId="0" borderId="0" applyAlignment="1" pivotButton="0" quotePrefix="0" xfId="2">
      <alignment wrapText="1"/>
    </xf>
    <xf numFmtId="0" fontId="6" fillId="0" borderId="0" applyAlignment="1" pivotButton="0" quotePrefix="0" xfId="2">
      <alignment horizontal="left" vertical="center"/>
    </xf>
    <xf numFmtId="0" fontId="5" fillId="0" borderId="1" applyAlignment="1" pivotButton="0" quotePrefix="0" xfId="2">
      <alignment horizontal="left" vertical="center" wrapText="1"/>
    </xf>
    <xf numFmtId="0" fontId="5" fillId="0" borderId="1" applyAlignment="1" pivotButton="0" quotePrefix="0" xfId="2">
      <alignment horizontal="center" vertical="center" wrapText="1"/>
    </xf>
    <xf numFmtId="0" fontId="19" fillId="0" borderId="1" applyAlignment="1" pivotButton="0" quotePrefix="0" xfId="4">
      <alignment horizontal="left" vertical="center" wrapText="1"/>
    </xf>
    <xf numFmtId="0" fontId="5" fillId="0" borderId="1" applyAlignment="1" pivotButton="0" quotePrefix="0" xfId="3">
      <alignment horizontal="center" vertical="center" wrapText="1"/>
    </xf>
    <xf numFmtId="0" fontId="8" fillId="0" borderId="0" pivotButton="0" quotePrefix="0" xfId="2"/>
    <xf numFmtId="0" fontId="9" fillId="0" borderId="0" applyAlignment="1" pivotButton="0" quotePrefix="0" xfId="2">
      <alignment horizontal="center"/>
    </xf>
    <xf numFmtId="0" fontId="7" fillId="0" borderId="0" pivotButton="0" quotePrefix="0" xfId="2"/>
    <xf numFmtId="0" fontId="7" fillId="0" borderId="0" applyAlignment="1" pivotButton="0" quotePrefix="0" xfId="2">
      <alignment horizontal="left"/>
    </xf>
    <xf numFmtId="0" fontId="6" fillId="0" borderId="0" applyAlignment="1" pivotButton="0" quotePrefix="0" xfId="2">
      <alignment horizontal="left"/>
    </xf>
    <xf numFmtId="0" fontId="6" fillId="0" borderId="0" applyAlignment="1" pivotButton="0" quotePrefix="0" xfId="2">
      <alignment wrapText="1"/>
    </xf>
    <xf numFmtId="14" fontId="6" fillId="0" borderId="0" pivotButton="0" quotePrefix="1" xfId="2"/>
    <xf numFmtId="14" fontId="6" fillId="0" borderId="0" pivotButton="0" quotePrefix="0" xfId="2"/>
    <xf numFmtId="14" fontId="16" fillId="0" borderId="1" applyAlignment="1" pivotButton="0" quotePrefix="1" xfId="2">
      <alignment horizontal="left" vertical="center"/>
    </xf>
    <xf numFmtId="0" fontId="16" fillId="0" borderId="1" applyAlignment="1" pivotButton="0" quotePrefix="0" xfId="2">
      <alignment horizontal="left" vertical="center" wrapText="1"/>
    </xf>
    <xf numFmtId="0" fontId="16" fillId="0" borderId="1" pivotButton="0" quotePrefix="0" xfId="2"/>
    <xf numFmtId="0" fontId="6" fillId="0" borderId="8" pivotButton="0" quotePrefix="0" xfId="2"/>
    <xf numFmtId="0" fontId="6" fillId="0" borderId="9" pivotButton="0" quotePrefix="0" xfId="2"/>
    <xf numFmtId="0" fontId="8" fillId="0" borderId="9" pivotButton="0" quotePrefix="0" xfId="2"/>
    <xf numFmtId="0" fontId="8" fillId="0" borderId="9" applyAlignment="1" pivotButton="0" quotePrefix="0" xfId="2">
      <alignment horizontal="left"/>
    </xf>
    <xf numFmtId="0" fontId="9" fillId="0" borderId="9" applyAlignment="1" pivotButton="0" quotePrefix="0" xfId="2">
      <alignment horizontal="center"/>
    </xf>
    <xf numFmtId="0" fontId="6" fillId="0" borderId="10" pivotButton="0" quotePrefix="0" xfId="2"/>
    <xf numFmtId="0" fontId="6" fillId="0" borderId="11" pivotButton="0" quotePrefix="0" xfId="2"/>
    <xf numFmtId="0" fontId="6" fillId="0" borderId="12" pivotButton="0" quotePrefix="0" xfId="2"/>
    <xf numFmtId="0" fontId="7" fillId="0" borderId="11" pivotButton="0" quotePrefix="0" xfId="2"/>
    <xf numFmtId="0" fontId="7" fillId="0" borderId="12" pivotButton="0" quotePrefix="0" xfId="2"/>
    <xf numFmtId="0" fontId="14" fillId="0" borderId="11" applyAlignment="1" pivotButton="0" quotePrefix="0" xfId="2">
      <alignment horizontal="left"/>
    </xf>
    <xf numFmtId="0" fontId="6" fillId="0" borderId="11" applyAlignment="1" pivotButton="0" quotePrefix="0" xfId="2">
      <alignment horizontal="left"/>
    </xf>
    <xf numFmtId="0" fontId="6" fillId="0" borderId="11" applyAlignment="1" pivotButton="0" quotePrefix="0" xfId="2">
      <alignment horizontal="left" indent="11"/>
    </xf>
    <xf numFmtId="0" fontId="6" fillId="0" borderId="13" pivotButton="0" quotePrefix="0" xfId="2"/>
    <xf numFmtId="0" fontId="6" fillId="0" borderId="14" pivotButton="0" quotePrefix="0" xfId="2"/>
    <xf numFmtId="0" fontId="6" fillId="0" borderId="15" pivotButton="0" quotePrefix="0" xfId="2"/>
    <xf numFmtId="0" fontId="7" fillId="3" borderId="1" applyAlignment="1" pivotButton="0" quotePrefix="0" xfId="2">
      <alignment horizontal="center" vertical="center" wrapText="1"/>
    </xf>
    <xf numFmtId="0" fontId="5" fillId="0" borderId="0" pivotButton="0" quotePrefix="0" xfId="3"/>
    <xf numFmtId="0" fontId="18" fillId="0" borderId="1" applyAlignment="1" pivotButton="0" quotePrefix="0" xfId="2">
      <alignment horizontal="center" vertical="center" wrapText="1"/>
    </xf>
    <xf numFmtId="0" fontId="5" fillId="0" borderId="0" pivotButton="0" quotePrefix="0" xfId="5"/>
    <xf numFmtId="0" fontId="5" fillId="0" borderId="1" applyAlignment="1" pivotButton="0" quotePrefix="0" xfId="2">
      <alignment horizontal="justify" vertical="center" wrapText="1"/>
    </xf>
    <xf numFmtId="0" fontId="5" fillId="0" borderId="1" applyAlignment="1" pivotButton="0" quotePrefix="0" xfId="2">
      <alignment vertical="center" wrapText="1"/>
    </xf>
    <xf numFmtId="0" fontId="18" fillId="0" borderId="1" applyAlignment="1" pivotButton="0" quotePrefix="0" xfId="2">
      <alignment horizontal="left" vertical="center" wrapText="1"/>
    </xf>
    <xf numFmtId="164" fontId="5" fillId="0" borderId="1" applyAlignment="1" pivotButton="0" quotePrefix="1" xfId="3">
      <alignment vertical="center" wrapText="1"/>
    </xf>
    <xf numFmtId="164" fontId="5" fillId="0" borderId="1" applyAlignment="1" pivotButton="0" quotePrefix="0" xfId="3">
      <alignment vertical="center" wrapText="1"/>
    </xf>
    <xf numFmtId="164" fontId="5" fillId="0" borderId="1" applyAlignment="1" pivotButton="0" quotePrefix="0" xfId="3">
      <alignment horizontal="center" vertical="center" wrapText="1"/>
    </xf>
    <xf numFmtId="0" fontId="19" fillId="0" borderId="1" applyAlignment="1" pivotButton="0" quotePrefix="0" xfId="4">
      <alignment vertical="top" wrapText="1"/>
    </xf>
    <xf numFmtId="0" fontId="19" fillId="0" borderId="1" applyAlignment="1" pivotButton="0" quotePrefix="0" xfId="4">
      <alignment wrapText="1"/>
    </xf>
    <xf numFmtId="0" fontId="5" fillId="0" borderId="0" pivotButton="0" quotePrefix="0" xfId="2"/>
    <xf numFmtId="0" fontId="21" fillId="0" borderId="0" pivotButton="0" quotePrefix="0" xfId="3"/>
    <xf numFmtId="0" fontId="7" fillId="0" borderId="1" applyAlignment="1" pivotButton="0" quotePrefix="0" xfId="3">
      <alignment horizontal="center" vertical="top" wrapText="1"/>
    </xf>
    <xf numFmtId="0" fontId="6" fillId="0" borderId="6" applyAlignment="1" pivotButton="0" quotePrefix="0" xfId="3">
      <alignment horizontal="center"/>
    </xf>
    <xf numFmtId="0" fontId="21" fillId="0" borderId="1" applyAlignment="1" pivotButton="0" quotePrefix="0" xfId="3">
      <alignment horizontal="left" vertical="center" wrapText="1"/>
    </xf>
    <xf numFmtId="0" fontId="21" fillId="0" borderId="1" applyAlignment="1" pivotButton="0" quotePrefix="0" xfId="3">
      <alignment horizontal="center"/>
    </xf>
    <xf numFmtId="9" fontId="21" fillId="0" borderId="1" applyAlignment="1" pivotButton="0" quotePrefix="0" xfId="6">
      <alignment horizontal="center"/>
    </xf>
    <xf numFmtId="9" fontId="21" fillId="0" borderId="1" applyAlignment="1" pivotButton="0" quotePrefix="0" xfId="7">
      <alignment horizontal="center"/>
    </xf>
    <xf numFmtId="0" fontId="22" fillId="0" borderId="1" applyAlignment="1" pivotButton="0" quotePrefix="0" xfId="3">
      <alignment horizontal="center"/>
    </xf>
    <xf numFmtId="9" fontId="22" fillId="0" borderId="1" applyAlignment="1" pivotButton="0" quotePrefix="0" xfId="3">
      <alignment horizontal="center"/>
    </xf>
    <xf numFmtId="9" fontId="22" fillId="0" borderId="1" applyAlignment="1" pivotButton="0" quotePrefix="0" xfId="7">
      <alignment horizontal="center"/>
    </xf>
    <xf numFmtId="0" fontId="21" fillId="0" borderId="0" applyAlignment="1" pivotButton="0" quotePrefix="0" xfId="3">
      <alignment horizontal="center"/>
    </xf>
    <xf numFmtId="0" fontId="7" fillId="3" borderId="1" applyAlignment="1" pivotButton="0" quotePrefix="0" xfId="3">
      <alignment horizontal="center" vertical="top" wrapText="1"/>
    </xf>
    <xf numFmtId="1" fontId="21" fillId="0" borderId="1" applyAlignment="1" pivotButton="0" quotePrefix="0" xfId="3">
      <alignment horizontal="center"/>
    </xf>
    <xf numFmtId="1" fontId="22" fillId="0" borderId="1" applyAlignment="1" pivotButton="0" quotePrefix="0" xfId="3">
      <alignment horizontal="center"/>
    </xf>
    <xf numFmtId="0" fontId="23" fillId="0" borderId="0" applyAlignment="1" pivotButton="0" quotePrefix="0" xfId="9">
      <alignment vertical="center"/>
    </xf>
    <xf numFmtId="0" fontId="23" fillId="0" borderId="0" applyAlignment="1" pivotButton="0" quotePrefix="0" xfId="9">
      <alignment horizontal="center" vertical="center"/>
    </xf>
    <xf numFmtId="0" fontId="9" fillId="0" borderId="0" applyAlignment="1" pivotButton="0" quotePrefix="0" xfId="9">
      <alignment horizontal="center" vertical="center" wrapText="1"/>
    </xf>
    <xf numFmtId="0" fontId="9" fillId="0" borderId="1" applyAlignment="1" pivotButton="0" quotePrefix="0" xfId="9">
      <alignment vertical="center" wrapText="1"/>
    </xf>
    <xf numFmtId="0" fontId="16" fillId="0" borderId="1" applyAlignment="1" pivotButton="0" quotePrefix="0" xfId="4">
      <alignment vertical="center" wrapText="1"/>
    </xf>
    <xf numFmtId="0" fontId="9" fillId="0" borderId="0" applyAlignment="1" pivotButton="0" quotePrefix="0" xfId="9">
      <alignment vertical="center" wrapText="1"/>
    </xf>
    <xf numFmtId="0" fontId="23" fillId="0" borderId="1" applyAlignment="1" pivotButton="0" quotePrefix="0" xfId="9">
      <alignment vertical="center" wrapText="1"/>
    </xf>
    <xf numFmtId="0" fontId="23" fillId="0" borderId="0" applyAlignment="1" pivotButton="0" quotePrefix="0" xfId="9">
      <alignment vertical="center" wrapText="1"/>
    </xf>
    <xf numFmtId="0" fontId="9" fillId="0" borderId="0" applyAlignment="1" pivotButton="0" quotePrefix="0" xfId="9">
      <alignment horizontal="left" vertical="center" wrapText="1"/>
    </xf>
    <xf numFmtId="0" fontId="9" fillId="0" borderId="1" applyAlignment="1" pivotButton="0" quotePrefix="0" xfId="9">
      <alignment horizontal="center" vertical="center" wrapText="1"/>
    </xf>
    <xf numFmtId="0" fontId="23" fillId="0" borderId="1" applyAlignment="1" pivotButton="0" quotePrefix="0" xfId="9">
      <alignment horizontal="center" vertical="center"/>
    </xf>
    <xf numFmtId="0" fontId="6" fillId="0" borderId="1" applyAlignment="1" pivotButton="0" quotePrefix="0" xfId="9">
      <alignment horizontal="center" vertical="center"/>
    </xf>
    <xf numFmtId="0" fontId="23" fillId="0" borderId="1" applyAlignment="1" pivotButton="0" quotePrefix="0" xfId="9">
      <alignment vertical="center"/>
    </xf>
    <xf numFmtId="0" fontId="23" fillId="0" borderId="1" applyAlignment="1" pivotButton="0" quotePrefix="1" xfId="9">
      <alignment vertical="center" wrapText="1"/>
    </xf>
    <xf numFmtId="0" fontId="26" fillId="0" borderId="0" pivotButton="0" quotePrefix="0" xfId="9"/>
    <xf numFmtId="0" fontId="23" fillId="4" borderId="1" applyAlignment="1" pivotButton="0" quotePrefix="0" xfId="9">
      <alignment horizontal="center" vertical="center" wrapText="1"/>
    </xf>
    <xf numFmtId="0" fontId="23" fillId="4" borderId="2" applyAlignment="1" pivotButton="0" quotePrefix="0" xfId="1">
      <alignment horizontal="center" vertical="center" wrapText="1"/>
    </xf>
    <xf numFmtId="0" fontId="23" fillId="4" borderId="0" applyAlignment="1" pivotButton="0" quotePrefix="0" xfId="9">
      <alignment vertical="center"/>
    </xf>
    <xf numFmtId="0" fontId="24" fillId="4" borderId="1" applyAlignment="1" pivotButton="0" quotePrefix="0" xfId="9">
      <alignment horizontal="left" vertical="center"/>
    </xf>
    <xf numFmtId="0" fontId="23" fillId="0" borderId="1" applyAlignment="1" pivotButton="0" quotePrefix="0" xfId="1">
      <alignment horizontal="center" vertical="center" wrapText="1"/>
    </xf>
    <xf numFmtId="0" fontId="9" fillId="0" borderId="16" applyAlignment="1" pivotButton="0" quotePrefix="0" xfId="9">
      <alignment horizontal="center" vertical="center" wrapText="1"/>
    </xf>
    <xf numFmtId="0" fontId="26" fillId="0" borderId="1" pivotButton="0" quotePrefix="0" xfId="9"/>
    <xf numFmtId="0" fontId="23" fillId="0" borderId="1" applyAlignment="1" pivotButton="0" quotePrefix="0" xfId="9">
      <alignment horizontal="left" vertical="center" wrapText="1"/>
    </xf>
    <xf numFmtId="0" fontId="23" fillId="0" borderId="6" applyAlignment="1" pivotButton="0" quotePrefix="0" xfId="9">
      <alignment horizontal="center" vertical="center" wrapText="1"/>
    </xf>
    <xf numFmtId="0" fontId="9" fillId="0" borderId="1" applyAlignment="1" pivotButton="0" quotePrefix="0" xfId="9">
      <alignment horizontal="left" vertical="center" wrapText="1"/>
    </xf>
    <xf numFmtId="0" fontId="6" fillId="0" borderId="1" applyAlignment="1" pivotButton="0" quotePrefix="0" xfId="4">
      <alignment vertical="center" wrapText="1"/>
    </xf>
    <xf numFmtId="0" fontId="6" fillId="4" borderId="1" applyAlignment="1" pivotButton="0" quotePrefix="0" xfId="1">
      <alignment horizontal="center" vertical="center" wrapText="1"/>
    </xf>
    <xf numFmtId="0" fontId="5" fillId="0" borderId="6" applyAlignment="1" pivotButton="0" quotePrefix="0" xfId="2">
      <alignment horizontal="left" vertical="center" wrapText="1"/>
    </xf>
    <xf numFmtId="0" fontId="33" fillId="0" borderId="0" applyAlignment="1" pivotButton="0" quotePrefix="0" xfId="4">
      <alignment vertical="center" wrapText="1"/>
    </xf>
    <xf numFmtId="0" fontId="33" fillId="0" borderId="1" applyAlignment="1" pivotButton="0" quotePrefix="0" xfId="4">
      <alignment vertical="center" wrapText="1"/>
    </xf>
    <xf numFmtId="0" fontId="34" fillId="0" borderId="0" applyAlignment="1" pivotButton="0" quotePrefix="0" xfId="0">
      <alignment vertical="center"/>
    </xf>
    <xf numFmtId="0" fontId="6" fillId="0" borderId="0" applyAlignment="1" pivotButton="0" quotePrefix="0" xfId="11">
      <alignment vertical="center"/>
    </xf>
    <xf numFmtId="0" fontId="7" fillId="0" borderId="0" applyAlignment="1" pivotButton="0" quotePrefix="0" xfId="11">
      <alignment horizontal="center" vertical="center" wrapText="1"/>
    </xf>
    <xf numFmtId="0" fontId="6" fillId="0" borderId="0" applyAlignment="1" pivotButton="0" quotePrefix="0" xfId="11">
      <alignment horizontal="center" vertical="center"/>
    </xf>
    <xf numFmtId="0" fontId="7" fillId="0" borderId="1" applyAlignment="1" pivotButton="0" quotePrefix="0" xfId="11">
      <alignment vertical="center" wrapText="1"/>
    </xf>
    <xf numFmtId="0" fontId="7" fillId="0" borderId="0" applyAlignment="1" pivotButton="0" quotePrefix="0" xfId="11">
      <alignment vertical="center" wrapText="1"/>
    </xf>
    <xf numFmtId="0" fontId="6" fillId="0" borderId="1" applyAlignment="1" pivotButton="0" quotePrefix="0" xfId="11">
      <alignment vertical="center" wrapText="1"/>
    </xf>
    <xf numFmtId="0" fontId="6" fillId="0" borderId="0" applyAlignment="1" pivotButton="0" quotePrefix="0" xfId="11">
      <alignment vertical="center" wrapText="1"/>
    </xf>
    <xf numFmtId="0" fontId="7" fillId="0" borderId="0" applyAlignment="1" pivotButton="0" quotePrefix="0" xfId="11">
      <alignment horizontal="left" vertical="center" wrapText="1"/>
    </xf>
    <xf numFmtId="0" fontId="6" fillId="4" borderId="1" applyAlignment="1" pivotButton="0" quotePrefix="0" xfId="11">
      <alignment horizontal="center" vertical="center" wrapText="1"/>
    </xf>
    <xf numFmtId="0" fontId="7" fillId="0" borderId="1" applyAlignment="1" pivotButton="0" quotePrefix="0" xfId="11">
      <alignment horizontal="center" vertical="center" wrapText="1"/>
    </xf>
    <xf numFmtId="0" fontId="7" fillId="0" borderId="6" applyAlignment="1" pivotButton="0" quotePrefix="0" xfId="11">
      <alignment horizontal="center" vertical="center" wrapText="1"/>
    </xf>
    <xf numFmtId="0" fontId="14" fillId="4" borderId="1" applyAlignment="1" pivotButton="0" quotePrefix="0" xfId="11">
      <alignment horizontal="left" vertical="center"/>
    </xf>
    <xf numFmtId="0" fontId="6" fillId="4" borderId="1" applyAlignment="1" pivotButton="0" quotePrefix="0" xfId="11">
      <alignment vertical="center"/>
    </xf>
    <xf numFmtId="0" fontId="6" fillId="0" borderId="1" applyAlignment="1" pivotButton="0" quotePrefix="0" xfId="11">
      <alignment horizontal="center" vertical="center" wrapText="1"/>
    </xf>
    <xf numFmtId="0" fontId="7" fillId="0" borderId="1" applyAlignment="1" pivotButton="0" quotePrefix="0" xfId="11">
      <alignment horizontal="left" vertical="center" wrapText="1"/>
    </xf>
    <xf numFmtId="0" fontId="6" fillId="0" borderId="1" applyAlignment="1" pivotButton="0" quotePrefix="1" xfId="11">
      <alignment horizontal="left" vertical="center" wrapText="1"/>
    </xf>
    <xf numFmtId="0" fontId="6" fillId="0" borderId="1" applyAlignment="1" pivotButton="0" quotePrefix="0" xfId="11">
      <alignment horizontal="center" vertical="center"/>
    </xf>
    <xf numFmtId="0" fontId="32" fillId="0" borderId="0" pivotButton="0" quotePrefix="0" xfId="11"/>
    <xf numFmtId="0" fontId="0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5" fillId="0" borderId="6" applyAlignment="1" pivotButton="0" quotePrefix="0" xfId="2">
      <alignment vertical="center" wrapText="1"/>
    </xf>
    <xf numFmtId="0" fontId="19" fillId="0" borderId="0" pivotButton="0" quotePrefix="0" xfId="4"/>
    <xf numFmtId="0" fontId="16" fillId="0" borderId="1" applyAlignment="1" pivotButton="0" quotePrefix="0" xfId="2">
      <alignment horizontal="left" vertical="center"/>
    </xf>
    <xf numFmtId="0" fontId="10" fillId="0" borderId="11" applyAlignment="1" pivotButton="0" quotePrefix="0" xfId="2">
      <alignment horizontal="center"/>
    </xf>
    <xf numFmtId="0" fontId="10" fillId="0" borderId="0" applyAlignment="1" pivotButton="0" quotePrefix="0" xfId="2">
      <alignment horizontal="center"/>
    </xf>
    <xf numFmtId="0" fontId="10" fillId="0" borderId="12" applyAlignment="1" pivotButton="0" quotePrefix="0" xfId="2">
      <alignment horizontal="center"/>
    </xf>
    <xf numFmtId="0" fontId="11" fillId="0" borderId="11" applyAlignment="1" pivotButton="0" quotePrefix="0" xfId="2">
      <alignment horizontal="center" wrapText="1"/>
    </xf>
    <xf numFmtId="0" fontId="11" fillId="0" borderId="0" applyAlignment="1" pivotButton="0" quotePrefix="0" xfId="2">
      <alignment horizontal="center" wrapText="1"/>
    </xf>
    <xf numFmtId="0" fontId="11" fillId="0" borderId="12" applyAlignment="1" pivotButton="0" quotePrefix="0" xfId="2">
      <alignment horizontal="center" wrapText="1"/>
    </xf>
    <xf numFmtId="0" fontId="13" fillId="0" borderId="11" applyAlignment="1" pivotButton="0" quotePrefix="0" xfId="2">
      <alignment horizontal="center" wrapText="1"/>
    </xf>
    <xf numFmtId="0" fontId="13" fillId="0" borderId="0" applyAlignment="1" pivotButton="0" quotePrefix="0" xfId="2">
      <alignment horizontal="center" wrapText="1"/>
    </xf>
    <xf numFmtId="0" fontId="13" fillId="0" borderId="12" applyAlignment="1" pivotButton="0" quotePrefix="0" xfId="2">
      <alignment horizontal="center" wrapText="1"/>
    </xf>
    <xf numFmtId="0" fontId="15" fillId="0" borderId="0" applyAlignment="1" pivotButton="0" quotePrefix="0" xfId="2">
      <alignment horizontal="center"/>
    </xf>
    <xf numFmtId="0" fontId="7" fillId="3" borderId="1" applyAlignment="1" pivotButton="0" quotePrefix="0" xfId="2">
      <alignment horizontal="center" vertical="center" wrapText="1"/>
    </xf>
    <xf numFmtId="0" fontId="16" fillId="0" borderId="2" applyAlignment="1" pivotButton="0" quotePrefix="0" xfId="2">
      <alignment horizontal="center"/>
    </xf>
    <xf numFmtId="0" fontId="16" fillId="0" borderId="4" applyAlignment="1" pivotButton="0" quotePrefix="0" xfId="2">
      <alignment horizontal="center"/>
    </xf>
    <xf numFmtId="0" fontId="16" fillId="0" borderId="5" applyAlignment="1" pivotButton="0" quotePrefix="0" xfId="2">
      <alignment horizontal="center"/>
    </xf>
    <xf numFmtId="0" fontId="17" fillId="0" borderId="6" applyAlignment="1" pivotButton="0" quotePrefix="0" xfId="2">
      <alignment horizontal="center"/>
    </xf>
    <xf numFmtId="0" fontId="18" fillId="0" borderId="1" applyAlignment="1" pivotButton="0" quotePrefix="0" xfId="2">
      <alignment horizontal="left" vertical="center" wrapText="1"/>
    </xf>
    <xf numFmtId="0" fontId="5" fillId="0" borderId="1" applyAlignment="1" pivotButton="0" quotePrefix="0" xfId="3">
      <alignment horizontal="left" vertical="center" wrapText="1"/>
    </xf>
    <xf numFmtId="0" fontId="5" fillId="0" borderId="1" applyAlignment="1" pivotButton="0" quotePrefix="0" xfId="2">
      <alignment horizontal="left" vertical="center" wrapText="1"/>
    </xf>
    <xf numFmtId="164" fontId="5" fillId="0" borderId="1" applyAlignment="1" pivotButton="0" quotePrefix="0" xfId="3">
      <alignment horizontal="center" vertical="center" wrapText="1"/>
    </xf>
    <xf numFmtId="0" fontId="18" fillId="3" borderId="1" applyAlignment="1" pivotButton="0" quotePrefix="0" xfId="2">
      <alignment horizontal="left" vertical="center" wrapText="1"/>
    </xf>
    <xf numFmtId="0" fontId="18" fillId="0" borderId="1" applyAlignment="1" pivotButton="0" quotePrefix="0" xfId="2">
      <alignment horizontal="center" vertical="center" wrapText="1"/>
    </xf>
    <xf numFmtId="0" fontId="5" fillId="0" borderId="6" applyAlignment="1" pivotButton="0" quotePrefix="0" xfId="2">
      <alignment horizontal="center" vertical="center" wrapText="1"/>
    </xf>
    <xf numFmtId="0" fontId="5" fillId="0" borderId="17" applyAlignment="1" pivotButton="0" quotePrefix="0" xfId="2">
      <alignment horizontal="center" vertical="center" wrapText="1"/>
    </xf>
    <xf numFmtId="0" fontId="5" fillId="0" borderId="7" applyAlignment="1" pivotButton="0" quotePrefix="0" xfId="2">
      <alignment horizontal="center" vertical="center" wrapText="1"/>
    </xf>
    <xf numFmtId="0" fontId="9" fillId="0" borderId="1" applyAlignment="1" pivotButton="0" quotePrefix="0" xfId="3">
      <alignment horizontal="center" vertical="center" wrapText="1"/>
    </xf>
    <xf numFmtId="0" fontId="20" fillId="0" borderId="0" applyAlignment="1" pivotButton="0" quotePrefix="0" xfId="3">
      <alignment horizontal="center"/>
    </xf>
    <xf numFmtId="0" fontId="7" fillId="2" borderId="6" applyAlignment="1" pivotButton="0" quotePrefix="0" xfId="3">
      <alignment horizontal="center" vertical="center" wrapText="1"/>
    </xf>
    <xf numFmtId="0" fontId="7" fillId="2" borderId="7" applyAlignment="1" pivotButton="0" quotePrefix="0" xfId="3">
      <alignment horizontal="center" vertical="center" wrapText="1"/>
    </xf>
    <xf numFmtId="0" fontId="7" fillId="3" borderId="2" applyAlignment="1" pivotButton="0" quotePrefix="0" xfId="3">
      <alignment horizontal="center" vertical="top" wrapText="1"/>
    </xf>
    <xf numFmtId="0" fontId="7" fillId="3" borderId="4" applyAlignment="1" pivotButton="0" quotePrefix="0" xfId="3">
      <alignment horizontal="center" vertical="top" wrapText="1"/>
    </xf>
    <xf numFmtId="0" fontId="7" fillId="3" borderId="5" applyAlignment="1" pivotButton="0" quotePrefix="0" xfId="3">
      <alignment horizontal="center" vertical="top" wrapText="1"/>
    </xf>
    <xf numFmtId="0" fontId="7" fillId="0" borderId="2" applyAlignment="1" pivotButton="0" quotePrefix="0" xfId="3">
      <alignment horizontal="center" vertical="top" wrapText="1"/>
    </xf>
    <xf numFmtId="0" fontId="7" fillId="0" borderId="4" applyAlignment="1" pivotButton="0" quotePrefix="0" xfId="3">
      <alignment horizontal="center" vertical="top" wrapText="1"/>
    </xf>
    <xf numFmtId="0" fontId="7" fillId="0" borderId="5" applyAlignment="1" pivotButton="0" quotePrefix="0" xfId="3">
      <alignment horizontal="center" vertical="top" wrapText="1"/>
    </xf>
    <xf numFmtId="0" fontId="31" fillId="0" borderId="1" applyAlignment="1" pivotButton="0" quotePrefix="0" xfId="9">
      <alignment horizontal="center"/>
    </xf>
    <xf numFmtId="0" fontId="31" fillId="0" borderId="1" applyAlignment="1" pivotButton="0" quotePrefix="0" xfId="9">
      <alignment horizontal="center" vertical="center"/>
    </xf>
    <xf numFmtId="0" fontId="23" fillId="0" borderId="6" applyAlignment="1" pivotButton="0" quotePrefix="0" xfId="9">
      <alignment horizontal="center" vertical="center" wrapText="1"/>
    </xf>
    <xf numFmtId="0" fontId="23" fillId="0" borderId="7" applyAlignment="1" pivotButton="0" quotePrefix="0" xfId="9">
      <alignment horizontal="center" vertical="center" wrapText="1"/>
    </xf>
    <xf numFmtId="0" fontId="29" fillId="0" borderId="6" applyAlignment="1" pivotButton="0" quotePrefix="0" xfId="9">
      <alignment horizontal="right" vertical="top" wrapText="1"/>
    </xf>
    <xf numFmtId="0" fontId="29" fillId="0" borderId="17" applyAlignment="1" pivotButton="0" quotePrefix="0" xfId="9">
      <alignment horizontal="right" vertical="top" wrapText="1"/>
    </xf>
    <xf numFmtId="0" fontId="29" fillId="0" borderId="7" applyAlignment="1" pivotButton="0" quotePrefix="0" xfId="9">
      <alignment horizontal="right" vertical="top" wrapText="1"/>
    </xf>
    <xf numFmtId="0" fontId="23" fillId="0" borderId="6" applyAlignment="1" pivotButton="0" quotePrefix="0" xfId="9">
      <alignment horizontal="left" vertical="center" wrapText="1"/>
    </xf>
    <xf numFmtId="0" fontId="23" fillId="0" borderId="7" applyAlignment="1" pivotButton="0" quotePrefix="0" xfId="9">
      <alignment horizontal="left" vertical="center" wrapText="1"/>
    </xf>
    <xf numFmtId="0" fontId="9" fillId="0" borderId="6" applyAlignment="1" pivotButton="0" quotePrefix="0" xfId="9">
      <alignment horizontal="center" vertical="center" wrapText="1"/>
    </xf>
    <xf numFmtId="0" fontId="9" fillId="0" borderId="17" applyAlignment="1" pivotButton="0" quotePrefix="0" xfId="9">
      <alignment horizontal="center" vertical="center" wrapText="1"/>
    </xf>
    <xf numFmtId="0" fontId="9" fillId="0" borderId="7" applyAlignment="1" pivotButton="0" quotePrefix="0" xfId="9">
      <alignment horizontal="center" vertical="center" wrapText="1"/>
    </xf>
    <xf numFmtId="0" fontId="28" fillId="0" borderId="6" applyAlignment="1" pivotButton="0" quotePrefix="0" xfId="9">
      <alignment horizontal="right" vertical="top" wrapText="1"/>
    </xf>
    <xf numFmtId="0" fontId="28" fillId="0" borderId="17" applyAlignment="1" pivotButton="0" quotePrefix="0" xfId="9">
      <alignment horizontal="right" vertical="top" wrapText="1"/>
    </xf>
    <xf numFmtId="0" fontId="28" fillId="0" borderId="7" applyAlignment="1" pivotButton="0" quotePrefix="0" xfId="9">
      <alignment horizontal="right" vertical="top" wrapText="1"/>
    </xf>
    <xf numFmtId="0" fontId="30" fillId="0" borderId="2" applyAlignment="1" pivotButton="0" quotePrefix="0" xfId="9">
      <alignment horizontal="left" vertical="center" wrapText="1"/>
    </xf>
    <xf numFmtId="0" fontId="30" fillId="0" borderId="4" applyAlignment="1" pivotButton="0" quotePrefix="0" xfId="9">
      <alignment horizontal="left" vertical="center" wrapText="1"/>
    </xf>
    <xf numFmtId="0" fontId="30" fillId="0" borderId="5" applyAlignment="1" pivotButton="0" quotePrefix="0" xfId="9">
      <alignment horizontal="left" vertical="center" wrapText="1"/>
    </xf>
    <xf numFmtId="0" fontId="9" fillId="0" borderId="0" applyAlignment="1" pivotButton="0" quotePrefix="0" xfId="9">
      <alignment horizontal="center" vertical="center" wrapText="1"/>
    </xf>
    <xf numFmtId="0" fontId="9" fillId="0" borderId="1" applyAlignment="1" pivotButton="0" quotePrefix="0" xfId="9">
      <alignment horizontal="center" vertical="center" wrapText="1"/>
    </xf>
    <xf numFmtId="0" fontId="9" fillId="0" borderId="3" applyAlignment="1" pivotButton="0" quotePrefix="0" xfId="9">
      <alignment horizontal="center" vertical="center" wrapText="1"/>
    </xf>
    <xf numFmtId="0" fontId="9" fillId="0" borderId="16" applyAlignment="1" pivotButton="0" quotePrefix="0" xfId="9">
      <alignment horizontal="center" vertical="center" wrapText="1"/>
    </xf>
    <xf numFmtId="0" fontId="7" fillId="0" borderId="0" applyAlignment="1" pivotButton="0" quotePrefix="0" xfId="11">
      <alignment horizontal="center" vertical="center" wrapText="1"/>
    </xf>
    <xf numFmtId="0" fontId="7" fillId="0" borderId="3" applyAlignment="1" pivotButton="0" quotePrefix="0" xfId="11">
      <alignment horizontal="center" vertical="center" wrapText="1"/>
    </xf>
    <xf numFmtId="0" fontId="7" fillId="0" borderId="16" applyAlignment="1" pivotButton="0" quotePrefix="0" xfId="11">
      <alignment horizontal="center" vertical="center" wrapText="1"/>
    </xf>
    <xf numFmtId="0" fontId="7" fillId="0" borderId="1" applyAlignment="1" pivotButton="0" quotePrefix="0" xfId="11">
      <alignment horizontal="center" vertical="center" wrapText="1"/>
    </xf>
    <xf numFmtId="0" fontId="10" fillId="0" borderId="23" applyAlignment="1" pivotButton="0" quotePrefix="0" xfId="2">
      <alignment horizontal="center"/>
    </xf>
    <xf numFmtId="0" fontId="0" fillId="0" borderId="12" pivotButton="0" quotePrefix="0" xfId="0"/>
    <xf numFmtId="0" fontId="11" fillId="0" borderId="23" applyAlignment="1" pivotButton="0" quotePrefix="0" xfId="2">
      <alignment horizontal="center" wrapText="1"/>
    </xf>
    <xf numFmtId="0" fontId="13" fillId="0" borderId="23" applyAlignment="1" pivotButton="0" quotePrefix="0" xfId="2">
      <alignment horizontal="center" wrapText="1"/>
    </xf>
    <xf numFmtId="0" fontId="0" fillId="0" borderId="4" pivotButton="0" quotePrefix="0" xfId="0"/>
    <xf numFmtId="0" fontId="0" fillId="0" borderId="22" pivotButton="0" quotePrefix="0" xfId="0"/>
    <xf numFmtId="0" fontId="16" fillId="0" borderId="18" applyAlignment="1" pivotButton="0" quotePrefix="0" xfId="2">
      <alignment horizontal="center"/>
    </xf>
    <xf numFmtId="0" fontId="0" fillId="0" borderId="5" pivotButton="0" quotePrefix="0" xfId="0"/>
    <xf numFmtId="0" fontId="0" fillId="0" borderId="28" pivotButton="0" quotePrefix="0" xfId="0"/>
    <xf numFmtId="0" fontId="0" fillId="0" borderId="29" pivotButton="0" quotePrefix="0" xfId="0"/>
    <xf numFmtId="0" fontId="5" fillId="0" borderId="26" applyAlignment="1" pivotButton="0" quotePrefix="0" xfId="2">
      <alignment horizontal="center" vertical="center" wrapText="1"/>
    </xf>
    <xf numFmtId="0" fontId="0" fillId="0" borderId="27" pivotButton="0" quotePrefix="0" xfId="0"/>
    <xf numFmtId="0" fontId="0" fillId="0" borderId="7" pivotButton="0" quotePrefix="0" xfId="0"/>
    <xf numFmtId="0" fontId="0" fillId="0" borderId="25" pivotButton="0" quotePrefix="0" xfId="0"/>
    <xf numFmtId="0" fontId="7" fillId="2" borderId="26" applyAlignment="1" pivotButton="0" quotePrefix="0" xfId="3">
      <alignment horizontal="center" vertical="center" wrapText="1"/>
    </xf>
    <xf numFmtId="0" fontId="7" fillId="3" borderId="18" applyAlignment="1" pivotButton="0" quotePrefix="0" xfId="3">
      <alignment horizontal="center" vertical="top" wrapText="1"/>
    </xf>
    <xf numFmtId="0" fontId="7" fillId="0" borderId="18" applyAlignment="1" pivotButton="0" quotePrefix="0" xfId="3">
      <alignment horizontal="center" vertical="top" wrapText="1"/>
    </xf>
    <xf numFmtId="0" fontId="0" fillId="0" borderId="24" pivotButton="0" quotePrefix="0" xfId="0"/>
    <xf numFmtId="0" fontId="9" fillId="0" borderId="26" applyAlignment="1" pivotButton="0" quotePrefix="0" xfId="9">
      <alignment horizontal="center" vertical="center" wrapText="1"/>
    </xf>
    <xf numFmtId="0" fontId="23" fillId="0" borderId="26" applyAlignment="1" pivotButton="0" quotePrefix="0" xfId="9">
      <alignment horizontal="center" vertical="center" wrapText="1"/>
    </xf>
    <xf numFmtId="0" fontId="23" fillId="0" borderId="26" applyAlignment="1" pivotButton="0" quotePrefix="0" xfId="9">
      <alignment horizontal="left" vertical="center" wrapText="1"/>
    </xf>
    <xf numFmtId="0" fontId="30" fillId="0" borderId="18" applyAlignment="1" pivotButton="0" quotePrefix="0" xfId="9">
      <alignment horizontal="left" vertical="center" wrapText="1"/>
    </xf>
    <xf numFmtId="0" fontId="28" fillId="0" borderId="26" applyAlignment="1" pivotButton="0" quotePrefix="0" xfId="9">
      <alignment horizontal="right" vertical="top" wrapText="1"/>
    </xf>
    <xf numFmtId="0" fontId="29" fillId="0" borderId="26" applyAlignment="1" pivotButton="0" quotePrefix="0" xfId="9">
      <alignment horizontal="right" vertical="top" wrapText="1"/>
    </xf>
    <xf numFmtId="0" fontId="7" fillId="0" borderId="1" applyAlignment="1" pivotButton="0" quotePrefix="0" xfId="0">
      <alignment horizontal="center" vertical="center" wrapText="1"/>
    </xf>
  </cellXfs>
  <cellStyles count="12">
    <cellStyle name="Normal" xfId="0" builtinId="0"/>
    <cellStyle name="Normal 4" xfId="1"/>
    <cellStyle name="Normal 3 2 2" xfId="2"/>
    <cellStyle name="Normal 2" xfId="3"/>
    <cellStyle name="Hyperlink" xfId="4" builtinId="8"/>
    <cellStyle name="Normal 2 2" xfId="5"/>
    <cellStyle name="Percent 2" xfId="6"/>
    <cellStyle name="Percent 3" xfId="7"/>
    <cellStyle name="Normal 5" xfId="8"/>
    <cellStyle name="Normal 3" xfId="9"/>
    <cellStyle name="Normal 2 2 11" xfId="10"/>
    <cellStyle name="Normal 3 2" xfId="11"/>
  </cellStyles>
  <dxfs count="10">
    <dxf>
      <font>
        <condense val="0"/>
        <color indexed="12"/>
        <extend val="0"/>
      </font>
    </dxf>
    <dxf>
      <font>
        <condense val="0"/>
        <color indexed="10"/>
        <extend val="0"/>
      </font>
    </dxf>
    <dxf>
      <font>
        <condense val="0"/>
        <color indexed="12"/>
        <extend val="0"/>
      </font>
    </dxf>
    <dxf>
      <font>
        <condense val="0"/>
        <color indexed="10"/>
        <extend val="0"/>
      </font>
    </dxf>
    <dxf>
      <font>
        <condense val="0"/>
        <color indexed="12"/>
        <extend val="0"/>
      </font>
    </dxf>
    <dxf>
      <font>
        <condense val="0"/>
        <color indexed="10"/>
        <extend val="0"/>
      </font>
    </dxf>
    <dxf>
      <font>
        <condense val="0"/>
        <color indexed="12"/>
        <extend val="0"/>
      </font>
    </dxf>
    <dxf>
      <font>
        <condense val="0"/>
        <color indexed="10"/>
        <extend val="0"/>
      </font>
    </dxf>
    <dxf>
      <font>
        <condense val="0"/>
        <color indexed="12"/>
        <extend val="0"/>
      </font>
    </dxf>
    <dxf>
      <font>
        <condense val="0"/>
        <color indexed="10"/>
        <extend val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osdc-nt2\osdc\Documents%20and%20Settings\ThoanCT\My%20Documents\Copy%20of%20DataLoadSheet9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"/>
      <sheetName val="Validation"/>
      <sheetName val="Giới thiệu"/>
      <sheetName val="Gi?i thi?u"/>
      <sheetName val="Giới_thiệu"/>
      <sheetName val="Gi?i_thi?u"/>
      <sheetName val="Giới_thiệu4"/>
      <sheetName val="Gi?i_thi?u4"/>
      <sheetName val="Giới_thiệu1"/>
      <sheetName val="Gi?i_thi?u1"/>
      <sheetName val="Giới_thiệu2"/>
      <sheetName val="Gi?i_thi?u2"/>
      <sheetName val="Giới_thiệu3"/>
      <sheetName val="Gi?i_thi?u3"/>
      <sheetName val="Gi_i thi_u"/>
      <sheetName val="Giới_thiệu5"/>
      <sheetName val="Gi?i_thi?u5"/>
      <sheetName val="Sheet2"/>
      <sheetName val="Effort"/>
      <sheetName val="Summary"/>
      <sheetName val="Giới_thiệu6"/>
      <sheetName val="Gi?i_thi?u6"/>
      <sheetName val="Gi_i_thi_u"/>
      <sheetName val="DN loại CN"/>
      <sheetName val="DN loại công việc"/>
      <sheetName val="Ref"/>
      <sheetName val="Gi_i_thi_u4"/>
      <sheetName val="Gi_i_thi_u1"/>
      <sheetName val="Gi_i_thi_u2"/>
      <sheetName val="Gi_i_thi_u3"/>
      <sheetName val="Gi_i_thi_u5"/>
      <sheetName val="Gi_i_thi_u6"/>
      <sheetName val="Giới_thiệu7"/>
      <sheetName val="Gi?i_thi?u7"/>
      <sheetName val="Account"/>
    </sheetNames>
    <sheetDataSet>
      <sheetData sheetId="0" refreshError="1"/>
      <sheetData sheetId="1" refreshError="1">
        <row r="2">
          <cell r="A2" t="str">
            <v>AFGHANISTAN</v>
          </cell>
          <cell r="B2" t="str">
            <v>MPLS Matrix</v>
          </cell>
          <cell r="C2" t="str">
            <v>MPLS, ADSL, No Contention</v>
          </cell>
        </row>
        <row r="3">
          <cell r="A3" t="str">
            <v>ALAND ISLANDS</v>
          </cell>
          <cell r="B3" t="str">
            <v>DIA</v>
          </cell>
          <cell r="C3" t="str">
            <v>MPLS, ADSL, Low Contention</v>
          </cell>
          <cell r="E3" t="str">
            <v>56Kbps</v>
          </cell>
          <cell r="F3" t="str">
            <v>56Kbps</v>
          </cell>
          <cell r="G3" t="str">
            <v>16Kbps</v>
          </cell>
          <cell r="H3" t="str">
            <v>None</v>
          </cell>
        </row>
        <row r="4">
          <cell r="A4" t="str">
            <v>ALBANIA</v>
          </cell>
          <cell r="B4" t="str">
            <v>MPLS, ADSL, Medium Contention</v>
          </cell>
          <cell r="C4" t="str">
            <v>MPLS, ADSL, Medium Contention</v>
          </cell>
          <cell r="E4" t="str">
            <v>64Kbps</v>
          </cell>
          <cell r="F4" t="str">
            <v>64Kbps</v>
          </cell>
          <cell r="G4" t="str">
            <v>32Kbps</v>
          </cell>
          <cell r="H4" t="str">
            <v>Basic</v>
          </cell>
        </row>
        <row r="5">
          <cell r="A5" t="str">
            <v>ALGERIA</v>
          </cell>
          <cell r="C5" t="str">
            <v>MPLS, ADSL, High, Contention</v>
          </cell>
          <cell r="E5" t="str">
            <v>128Kbps</v>
          </cell>
          <cell r="F5" t="str">
            <v>128Kbps</v>
          </cell>
          <cell r="G5" t="str">
            <v>48Kbps</v>
          </cell>
        </row>
        <row r="6">
          <cell r="A6" t="str">
            <v>AMERICAN SAMOA</v>
          </cell>
          <cell r="C6" t="str">
            <v>MPLS, SDSL, No Contention</v>
          </cell>
          <cell r="E6" t="str">
            <v>192Kbps</v>
          </cell>
          <cell r="F6" t="str">
            <v>192Kbps</v>
          </cell>
          <cell r="G6" t="str">
            <v>56Kbps</v>
          </cell>
        </row>
        <row r="7">
          <cell r="A7" t="str">
            <v>ANDORRA</v>
          </cell>
          <cell r="C7" t="str">
            <v>MPLS, SDSL, Low Contention</v>
          </cell>
          <cell r="E7" t="str">
            <v>256Kbps</v>
          </cell>
          <cell r="F7" t="str">
            <v>256Kbps</v>
          </cell>
          <cell r="G7" t="str">
            <v>64Kbps</v>
          </cell>
        </row>
        <row r="8">
          <cell r="A8" t="str">
            <v>ANGOLA</v>
          </cell>
          <cell r="C8" t="str">
            <v>MPLS, SDSL, Medium Contention</v>
          </cell>
          <cell r="E8" t="str">
            <v>384Kbps</v>
          </cell>
          <cell r="F8" t="str">
            <v>384Kbps</v>
          </cell>
          <cell r="G8" t="str">
            <v>96Kbps</v>
          </cell>
        </row>
        <row r="9">
          <cell r="A9" t="str">
            <v>ANGUILLA</v>
          </cell>
          <cell r="C9" t="str">
            <v>MPLS, SDSL, High Contention</v>
          </cell>
          <cell r="E9" t="str">
            <v>512Kbps</v>
          </cell>
          <cell r="F9" t="str">
            <v>512Kbps</v>
          </cell>
          <cell r="G9" t="str">
            <v>128Kbps</v>
          </cell>
        </row>
        <row r="10">
          <cell r="A10" t="str">
            <v>ANTARCTICA</v>
          </cell>
          <cell r="C10" t="str">
            <v>MPLS, Leased Line</v>
          </cell>
          <cell r="E10" t="str">
            <v>768Kbps</v>
          </cell>
          <cell r="F10" t="str">
            <v>768Kbps</v>
          </cell>
          <cell r="G10" t="str">
            <v>160Kbps</v>
          </cell>
        </row>
        <row r="11">
          <cell r="A11" t="str">
            <v>ANTIGUA AND BARBUDA</v>
          </cell>
          <cell r="C11" t="str">
            <v>MPLS, Frame Relay</v>
          </cell>
          <cell r="E11" t="str">
            <v>1Mbps</v>
          </cell>
          <cell r="F11" t="str">
            <v>1Mbps</v>
          </cell>
          <cell r="G11" t="str">
            <v>192Kbps</v>
          </cell>
        </row>
        <row r="12">
          <cell r="A12" t="str">
            <v>ARGENTINA</v>
          </cell>
          <cell r="C12" t="str">
            <v>MPLS, ATM</v>
          </cell>
          <cell r="E12" t="str">
            <v>T1</v>
          </cell>
          <cell r="F12" t="str">
            <v>1.5Mbps</v>
          </cell>
          <cell r="G12" t="str">
            <v>256Kbps</v>
          </cell>
        </row>
        <row r="13">
          <cell r="A13" t="str">
            <v>ARMENIA</v>
          </cell>
          <cell r="C13" t="str">
            <v>MPLS, Ethernet</v>
          </cell>
          <cell r="E13" t="str">
            <v>E1</v>
          </cell>
          <cell r="F13" t="str">
            <v>2Mbps</v>
          </cell>
          <cell r="G13" t="str">
            <v>320Kbps</v>
          </cell>
        </row>
        <row r="14">
          <cell r="A14" t="str">
            <v>ARUBA</v>
          </cell>
          <cell r="C14" t="str">
            <v>MPLS, Fast Ethernet</v>
          </cell>
          <cell r="E14" t="str">
            <v>2xT1</v>
          </cell>
          <cell r="F14" t="str">
            <v>3Mbps</v>
          </cell>
          <cell r="G14" t="str">
            <v>384Kbps</v>
          </cell>
        </row>
        <row r="15">
          <cell r="A15" t="str">
            <v>ASCENSION ISLAND</v>
          </cell>
          <cell r="C15" t="str">
            <v>MPLS, GigaBit Ethernet</v>
          </cell>
          <cell r="E15" t="str">
            <v>2xE1</v>
          </cell>
          <cell r="F15" t="str">
            <v>4Mbps</v>
          </cell>
          <cell r="G15" t="str">
            <v>448Kbps</v>
          </cell>
        </row>
        <row r="16">
          <cell r="A16" t="str">
            <v>AUSTRALIA</v>
          </cell>
          <cell r="C16" t="str">
            <v>MPLS, Protected Access</v>
          </cell>
          <cell r="E16" t="str">
            <v>3xT1</v>
          </cell>
          <cell r="F16" t="str">
            <v>4.5Mbps</v>
          </cell>
          <cell r="G16" t="str">
            <v>512Kbps</v>
          </cell>
        </row>
        <row r="17">
          <cell r="A17" t="str">
            <v>AUSTRIA</v>
          </cell>
          <cell r="C17" t="str">
            <v>DIA, ADSL, Business Performance, Static IP Address</v>
          </cell>
          <cell r="E17" t="str">
            <v>3xE1</v>
          </cell>
          <cell r="F17" t="str">
            <v>5Mbps</v>
          </cell>
          <cell r="G17" t="str">
            <v>768Kbps</v>
          </cell>
        </row>
        <row r="18">
          <cell r="A18" t="str">
            <v>AZERBAIJAN</v>
          </cell>
          <cell r="C18" t="str">
            <v>DIA, ADSL, Standard Performance, Static IP Address</v>
          </cell>
          <cell r="E18" t="str">
            <v>4xT1</v>
          </cell>
          <cell r="F18" t="str">
            <v>6Mbps</v>
          </cell>
          <cell r="G18" t="str">
            <v>1Mbps</v>
          </cell>
        </row>
        <row r="19">
          <cell r="A19" t="str">
            <v>BAHAMAS</v>
          </cell>
          <cell r="C19" t="str">
            <v>DIA, ADSL, Lower Performance, Dynamic IP Address</v>
          </cell>
          <cell r="E19" t="str">
            <v>4xE1</v>
          </cell>
          <cell r="F19" t="str">
            <v>8Mbps</v>
          </cell>
          <cell r="G19" t="str">
            <v>1.5Mbps</v>
          </cell>
        </row>
        <row r="20">
          <cell r="A20" t="str">
            <v>BAHRAIN</v>
          </cell>
          <cell r="C20" t="str">
            <v>DIA, ADSL, Lower Performance, Static IP Address</v>
          </cell>
          <cell r="E20" t="str">
            <v>Ethernet</v>
          </cell>
          <cell r="F20" t="str">
            <v>10Mbps</v>
          </cell>
          <cell r="G20" t="str">
            <v>2Mbps</v>
          </cell>
        </row>
        <row r="21">
          <cell r="A21" t="str">
            <v>BAKER ISLAND</v>
          </cell>
          <cell r="C21" t="str">
            <v>DIA, SDSL, Business Performance, Static IP Address</v>
          </cell>
          <cell r="E21" t="str">
            <v>E3</v>
          </cell>
          <cell r="F21" t="str">
            <v>12Mbps</v>
          </cell>
          <cell r="G21" t="str">
            <v>3Mbps</v>
          </cell>
        </row>
        <row r="22">
          <cell r="A22" t="str">
            <v>BANGLADESH</v>
          </cell>
          <cell r="C22" t="str">
            <v>DIA, SDSL, Standard Performance, Static IP Address</v>
          </cell>
          <cell r="E22" t="str">
            <v>DS3</v>
          </cell>
          <cell r="F22" t="str">
            <v>14Mbps</v>
          </cell>
          <cell r="G22" t="str">
            <v>4Mbps</v>
          </cell>
        </row>
        <row r="23">
          <cell r="A23" t="str">
            <v>BARBADOS</v>
          </cell>
          <cell r="C23" t="str">
            <v>DIA, SDSL, Lower Performance, Dynamic IP Address</v>
          </cell>
          <cell r="E23" t="str">
            <v>Fast Ethernet</v>
          </cell>
          <cell r="F23" t="str">
            <v>16Mbps</v>
          </cell>
          <cell r="G23" t="str">
            <v>4.5Mpbs</v>
          </cell>
        </row>
        <row r="24">
          <cell r="A24" t="str">
            <v>BELARUS</v>
          </cell>
          <cell r="C24" t="str">
            <v>DIA, SDSL, Lower Performance, Static IP Address</v>
          </cell>
          <cell r="E24" t="str">
            <v>STM1/OC3</v>
          </cell>
          <cell r="F24" t="str">
            <v>18Mbps</v>
          </cell>
          <cell r="G24" t="str">
            <v>5Mbps</v>
          </cell>
        </row>
        <row r="25">
          <cell r="A25" t="str">
            <v>BELGIUM</v>
          </cell>
          <cell r="C25" t="str">
            <v>DIA Leased Line</v>
          </cell>
          <cell r="E25" t="str">
            <v>Gigabit Ethernet</v>
          </cell>
          <cell r="F25" t="str">
            <v>20Mbps</v>
          </cell>
          <cell r="G25" t="str">
            <v>6Mbps</v>
          </cell>
        </row>
        <row r="26">
          <cell r="A26" t="str">
            <v>BELIZE</v>
          </cell>
          <cell r="C26" t="str">
            <v>DIA Ethernet</v>
          </cell>
          <cell r="E26" t="str">
            <v>64/128</v>
          </cell>
          <cell r="F26" t="str">
            <v>25Mbps</v>
          </cell>
          <cell r="G26" t="str">
            <v>8Mbps</v>
          </cell>
        </row>
        <row r="27">
          <cell r="A27" t="str">
            <v>BENIN</v>
          </cell>
          <cell r="C27" t="str">
            <v>DIA Fast Ethenet</v>
          </cell>
          <cell r="E27" t="str">
            <v>64/192</v>
          </cell>
          <cell r="F27" t="str">
            <v>30Mbps</v>
          </cell>
          <cell r="G27" t="str">
            <v>10Mbps</v>
          </cell>
        </row>
        <row r="28">
          <cell r="A28" t="str">
            <v>BERMUDA</v>
          </cell>
          <cell r="C28" t="str">
            <v>DIA Gigabit Ethernet</v>
          </cell>
          <cell r="E28" t="str">
            <v>64/256</v>
          </cell>
          <cell r="F28" t="str">
            <v>35Mbps</v>
          </cell>
          <cell r="G28" t="str">
            <v>12Mbps</v>
          </cell>
        </row>
        <row r="29">
          <cell r="A29" t="str">
            <v>BHUTAN</v>
          </cell>
          <cell r="C29" t="str">
            <v>DIA Protected Access</v>
          </cell>
          <cell r="E29" t="str">
            <v>64/384</v>
          </cell>
          <cell r="F29" t="str">
            <v>40Mbps</v>
          </cell>
          <cell r="G29" t="str">
            <v>14Mbps</v>
          </cell>
        </row>
        <row r="30">
          <cell r="A30" t="str">
            <v>BOLIVIA</v>
          </cell>
          <cell r="E30" t="str">
            <v>64/512</v>
          </cell>
          <cell r="F30" t="str">
            <v>45Mbps</v>
          </cell>
          <cell r="G30" t="str">
            <v>16Mbps</v>
          </cell>
        </row>
        <row r="31">
          <cell r="A31" t="str">
            <v>BOSNIA AND HERZEGOVINA</v>
          </cell>
          <cell r="E31" t="str">
            <v>64/640</v>
          </cell>
          <cell r="F31" t="str">
            <v>50Mbps</v>
          </cell>
          <cell r="G31" t="str">
            <v>18Mbps</v>
          </cell>
        </row>
        <row r="32">
          <cell r="A32" t="str">
            <v>BOTSWANA</v>
          </cell>
          <cell r="E32" t="str">
            <v>64/768</v>
          </cell>
          <cell r="F32" t="str">
            <v>60Mbps</v>
          </cell>
          <cell r="G32" t="str">
            <v>20Mbps</v>
          </cell>
        </row>
        <row r="33">
          <cell r="A33" t="str">
            <v>BOUVET ISLAND</v>
          </cell>
          <cell r="E33" t="str">
            <v>64/896</v>
          </cell>
          <cell r="F33" t="str">
            <v>70Mbps</v>
          </cell>
          <cell r="G33" t="str">
            <v>25Mbps</v>
          </cell>
        </row>
        <row r="34">
          <cell r="A34" t="str">
            <v>BRAZIL</v>
          </cell>
          <cell r="E34" t="str">
            <v>64/1024</v>
          </cell>
          <cell r="F34" t="str">
            <v>90Mbps</v>
          </cell>
          <cell r="G34" t="str">
            <v>30Mbps</v>
          </cell>
        </row>
        <row r="35">
          <cell r="A35" t="str">
            <v>BRITISH INDIAN OCEAN TERRITORY</v>
          </cell>
          <cell r="E35" t="str">
            <v>128/64</v>
          </cell>
          <cell r="F35" t="str">
            <v>100Mbps</v>
          </cell>
          <cell r="G35" t="str">
            <v>35Mbps</v>
          </cell>
        </row>
        <row r="36">
          <cell r="A36" t="str">
            <v>BRITISH VIRGIN ISLANDS</v>
          </cell>
          <cell r="E36" t="str">
            <v>128/192</v>
          </cell>
          <cell r="F36" t="str">
            <v>110Mbps</v>
          </cell>
          <cell r="G36" t="str">
            <v>40Mbps</v>
          </cell>
        </row>
        <row r="37">
          <cell r="A37" t="str">
            <v>BRUNEI</v>
          </cell>
          <cell r="E37" t="str">
            <v>128/256</v>
          </cell>
          <cell r="F37" t="str">
            <v>120Mbps</v>
          </cell>
          <cell r="G37" t="str">
            <v>45Mbps</v>
          </cell>
        </row>
        <row r="38">
          <cell r="A38" t="str">
            <v>BULGARIA</v>
          </cell>
          <cell r="E38" t="str">
            <v>128/384</v>
          </cell>
          <cell r="F38" t="str">
            <v>130Mbps</v>
          </cell>
          <cell r="G38" t="str">
            <v>50Mbps</v>
          </cell>
        </row>
        <row r="39">
          <cell r="A39" t="str">
            <v>BURKINA FASO</v>
          </cell>
          <cell r="E39" t="str">
            <v>128/512</v>
          </cell>
          <cell r="F39" t="str">
            <v>140Mbps</v>
          </cell>
          <cell r="G39" t="str">
            <v>60Mbps</v>
          </cell>
        </row>
        <row r="40">
          <cell r="A40" t="str">
            <v>BURUNDI</v>
          </cell>
          <cell r="E40" t="str">
            <v>128/640</v>
          </cell>
          <cell r="F40" t="str">
            <v>150Mbps</v>
          </cell>
          <cell r="G40" t="str">
            <v>70Mbps</v>
          </cell>
        </row>
        <row r="41">
          <cell r="A41" t="str">
            <v>CAMBODIA</v>
          </cell>
          <cell r="E41" t="str">
            <v>128/768</v>
          </cell>
          <cell r="G41" t="str">
            <v>90Mbps</v>
          </cell>
        </row>
        <row r="42">
          <cell r="A42" t="str">
            <v>CAMEROON</v>
          </cell>
          <cell r="E42" t="str">
            <v>128/896</v>
          </cell>
          <cell r="G42" t="str">
            <v>100Mbps</v>
          </cell>
        </row>
        <row r="43">
          <cell r="A43" t="str">
            <v>CANADA</v>
          </cell>
          <cell r="E43" t="str">
            <v>128/1024</v>
          </cell>
          <cell r="G43" t="str">
            <v>110Mbps</v>
          </cell>
        </row>
        <row r="44">
          <cell r="A44" t="str">
            <v>CAPE VERDE</v>
          </cell>
          <cell r="E44" t="str">
            <v>192/64</v>
          </cell>
          <cell r="G44" t="str">
            <v>120Mbps</v>
          </cell>
        </row>
        <row r="45">
          <cell r="A45" t="str">
            <v>CAYMAN ISLANDS</v>
          </cell>
          <cell r="E45" t="str">
            <v>192/128</v>
          </cell>
          <cell r="G45" t="str">
            <v>130Mbps</v>
          </cell>
        </row>
        <row r="46">
          <cell r="A46" t="str">
            <v>CENTRAL AFRICAN REPUBLIC</v>
          </cell>
          <cell r="E46" t="str">
            <v>192/192</v>
          </cell>
          <cell r="G46" t="str">
            <v>140Mbps</v>
          </cell>
        </row>
        <row r="47">
          <cell r="A47" t="str">
            <v>CHAD</v>
          </cell>
          <cell r="E47" t="str">
            <v>192/256</v>
          </cell>
          <cell r="G47" t="str">
            <v>150Mbps</v>
          </cell>
        </row>
        <row r="48">
          <cell r="A48" t="str">
            <v>CHILE</v>
          </cell>
          <cell r="E48" t="str">
            <v>192/384</v>
          </cell>
        </row>
        <row r="49">
          <cell r="A49" t="str">
            <v>CHINA</v>
          </cell>
          <cell r="E49" t="str">
            <v>192/256</v>
          </cell>
        </row>
        <row r="50">
          <cell r="A50" t="str">
            <v>CHRISTMAS ISLAND</v>
          </cell>
          <cell r="E50" t="str">
            <v>192/384</v>
          </cell>
        </row>
        <row r="51">
          <cell r="A51" t="str">
            <v>COCOS (KEELING) ISLANDS</v>
          </cell>
          <cell r="E51" t="str">
            <v>192/512</v>
          </cell>
        </row>
        <row r="52">
          <cell r="A52" t="str">
            <v>COLOMBIA</v>
          </cell>
          <cell r="E52" t="str">
            <v>192/640</v>
          </cell>
        </row>
        <row r="53">
          <cell r="A53" t="str">
            <v>COMOROS</v>
          </cell>
          <cell r="E53" t="str">
            <v>192/768</v>
          </cell>
        </row>
        <row r="54">
          <cell r="A54" t="str">
            <v>CONGO, DEM. REP.</v>
          </cell>
          <cell r="E54" t="str">
            <v>192/896</v>
          </cell>
        </row>
        <row r="55">
          <cell r="A55" t="str">
            <v>CONGO, REP.</v>
          </cell>
          <cell r="E55" t="str">
            <v>192/1024</v>
          </cell>
        </row>
        <row r="56">
          <cell r="A56" t="str">
            <v>COOK ISLANDS</v>
          </cell>
          <cell r="E56" t="str">
            <v>256/64</v>
          </cell>
        </row>
        <row r="57">
          <cell r="A57" t="str">
            <v>COSTA RICA</v>
          </cell>
          <cell r="E57" t="str">
            <v>256/128</v>
          </cell>
        </row>
        <row r="58">
          <cell r="A58" t="str">
            <v>COTE D'IVOIRE</v>
          </cell>
          <cell r="E58" t="str">
            <v>256/192</v>
          </cell>
        </row>
        <row r="59">
          <cell r="A59" t="str">
            <v>CROATIA</v>
          </cell>
          <cell r="E59" t="str">
            <v>256/384</v>
          </cell>
        </row>
        <row r="60">
          <cell r="A60" t="str">
            <v>CUBA</v>
          </cell>
          <cell r="E60" t="str">
            <v>256/512</v>
          </cell>
        </row>
        <row r="61">
          <cell r="A61" t="str">
            <v>CYPRUS</v>
          </cell>
          <cell r="E61" t="str">
            <v>256/640</v>
          </cell>
        </row>
        <row r="62">
          <cell r="A62" t="str">
            <v>CZECH REPUBLIC</v>
          </cell>
          <cell r="E62" t="str">
            <v>256/768</v>
          </cell>
        </row>
        <row r="63">
          <cell r="A63" t="str">
            <v>DENMARK</v>
          </cell>
          <cell r="E63" t="str">
            <v>256/896</v>
          </cell>
        </row>
        <row r="64">
          <cell r="A64" t="str">
            <v>DJIBOUTI</v>
          </cell>
          <cell r="E64" t="str">
            <v>256/1024</v>
          </cell>
        </row>
        <row r="65">
          <cell r="A65" t="str">
            <v>DOMINICA</v>
          </cell>
          <cell r="E65" t="str">
            <v>384/64</v>
          </cell>
        </row>
        <row r="66">
          <cell r="A66" t="str">
            <v>DOMINICAN REPUBLIC</v>
          </cell>
          <cell r="E66" t="str">
            <v>384/128</v>
          </cell>
        </row>
        <row r="67">
          <cell r="A67" t="str">
            <v>EAST TIMOR</v>
          </cell>
          <cell r="E67" t="str">
            <v>384/192</v>
          </cell>
        </row>
        <row r="68">
          <cell r="A68" t="str">
            <v>ECUADOR</v>
          </cell>
          <cell r="E68" t="str">
            <v>384/256</v>
          </cell>
        </row>
        <row r="69">
          <cell r="A69" t="str">
            <v>EGYPT</v>
          </cell>
          <cell r="E69" t="str">
            <v>384/512</v>
          </cell>
        </row>
        <row r="70">
          <cell r="A70" t="str">
            <v>EL SALVADOR</v>
          </cell>
          <cell r="E70" t="str">
            <v>384/640</v>
          </cell>
        </row>
        <row r="71">
          <cell r="A71" t="str">
            <v>EQUATORIAL GUINEA</v>
          </cell>
          <cell r="E71" t="str">
            <v>384/768</v>
          </cell>
        </row>
        <row r="72">
          <cell r="A72" t="str">
            <v>ERITREA</v>
          </cell>
          <cell r="E72" t="str">
            <v>384/896</v>
          </cell>
        </row>
        <row r="73">
          <cell r="A73" t="str">
            <v>ESTONIA</v>
          </cell>
          <cell r="E73" t="str">
            <v>384/1024</v>
          </cell>
        </row>
        <row r="74">
          <cell r="A74" t="str">
            <v>ETHIOPIA</v>
          </cell>
          <cell r="E74" t="str">
            <v>512/64</v>
          </cell>
        </row>
        <row r="75">
          <cell r="A75" t="str">
            <v>FALKLAND ISLANDS</v>
          </cell>
          <cell r="E75" t="str">
            <v>512/128</v>
          </cell>
        </row>
        <row r="76">
          <cell r="A76" t="str">
            <v>FAROE ISLANDS</v>
          </cell>
          <cell r="E76" t="str">
            <v>512/192</v>
          </cell>
        </row>
        <row r="77">
          <cell r="A77" t="str">
            <v>FIJI</v>
          </cell>
          <cell r="E77" t="str">
            <v>512/256</v>
          </cell>
        </row>
        <row r="78">
          <cell r="A78" t="str">
            <v>FINLAND</v>
          </cell>
          <cell r="E78" t="str">
            <v>512/384</v>
          </cell>
        </row>
        <row r="79">
          <cell r="A79" t="str">
            <v>FRANCE</v>
          </cell>
          <cell r="E79" t="str">
            <v>512/640</v>
          </cell>
        </row>
        <row r="80">
          <cell r="A80" t="str">
            <v>FRENCH GUIANA</v>
          </cell>
          <cell r="E80" t="str">
            <v>512/768</v>
          </cell>
        </row>
        <row r="81">
          <cell r="A81" t="str">
            <v>FRENCH POLYNESIA</v>
          </cell>
          <cell r="E81" t="str">
            <v>512/896</v>
          </cell>
        </row>
        <row r="82">
          <cell r="A82" t="str">
            <v>FRENCH SOUTHERN TERRITORIES</v>
          </cell>
          <cell r="E82" t="str">
            <v>512/1024</v>
          </cell>
        </row>
        <row r="83">
          <cell r="A83" t="str">
            <v>GABON</v>
          </cell>
          <cell r="E83" t="str">
            <v>640/64</v>
          </cell>
        </row>
        <row r="84">
          <cell r="A84" t="str">
            <v>GAMBIA, THE</v>
          </cell>
          <cell r="E84" t="str">
            <v>640/128</v>
          </cell>
        </row>
        <row r="85">
          <cell r="A85" t="str">
            <v>GEORGIA</v>
          </cell>
          <cell r="E85" t="str">
            <v>640/768</v>
          </cell>
        </row>
        <row r="86">
          <cell r="A86" t="str">
            <v>GERMANY</v>
          </cell>
          <cell r="E86" t="str">
            <v>640/896</v>
          </cell>
        </row>
        <row r="87">
          <cell r="A87" t="str">
            <v>GHANA</v>
          </cell>
          <cell r="E87" t="str">
            <v>640/1024</v>
          </cell>
        </row>
        <row r="88">
          <cell r="A88" t="str">
            <v>GIBRALTAR</v>
          </cell>
          <cell r="E88" t="str">
            <v>768/64</v>
          </cell>
        </row>
        <row r="89">
          <cell r="A89" t="str">
            <v>GREECE</v>
          </cell>
          <cell r="E89" t="str">
            <v>768/128</v>
          </cell>
        </row>
        <row r="90">
          <cell r="A90" t="str">
            <v>GREENLAND</v>
          </cell>
          <cell r="E90" t="str">
            <v>768/192</v>
          </cell>
        </row>
        <row r="91">
          <cell r="A91" t="str">
            <v>GRENADA</v>
          </cell>
          <cell r="E91" t="str">
            <v>768/256</v>
          </cell>
        </row>
        <row r="92">
          <cell r="A92" t="str">
            <v>GUADELOUPE</v>
          </cell>
          <cell r="E92" t="str">
            <v>768/384</v>
          </cell>
        </row>
        <row r="93">
          <cell r="A93" t="str">
            <v>GUAM</v>
          </cell>
          <cell r="E93" t="str">
            <v>768/512</v>
          </cell>
        </row>
        <row r="94">
          <cell r="A94" t="str">
            <v>GUATEMALA</v>
          </cell>
          <cell r="E94" t="str">
            <v>768/640</v>
          </cell>
        </row>
        <row r="95">
          <cell r="A95" t="str">
            <v>GUERNSEY</v>
          </cell>
          <cell r="E95" t="str">
            <v>768/896</v>
          </cell>
        </row>
        <row r="96">
          <cell r="A96" t="str">
            <v>GUINEA</v>
          </cell>
          <cell r="E96" t="str">
            <v>768/1024</v>
          </cell>
        </row>
        <row r="97">
          <cell r="A97" t="str">
            <v>GUINEA-BISSAU</v>
          </cell>
          <cell r="E97" t="str">
            <v>896/64</v>
          </cell>
        </row>
        <row r="98">
          <cell r="A98" t="str">
            <v>GUYANA</v>
          </cell>
          <cell r="E98" t="str">
            <v>896/128</v>
          </cell>
        </row>
        <row r="99">
          <cell r="A99" t="str">
            <v>HAITI</v>
          </cell>
          <cell r="E99" t="str">
            <v>896/192</v>
          </cell>
        </row>
        <row r="100">
          <cell r="A100" t="str">
            <v>HEARD ISLAND AND MCDONALD ISLANDS</v>
          </cell>
          <cell r="E100" t="str">
            <v>896/256</v>
          </cell>
        </row>
        <row r="101">
          <cell r="A101" t="str">
            <v>HONDURAS</v>
          </cell>
          <cell r="E101" t="str">
            <v>896/256</v>
          </cell>
        </row>
        <row r="102">
          <cell r="A102" t="str">
            <v>HONG KONG</v>
          </cell>
          <cell r="E102" t="str">
            <v>896/384</v>
          </cell>
        </row>
        <row r="103">
          <cell r="A103" t="str">
            <v>HOWLAND ISLAND</v>
          </cell>
          <cell r="E103" t="str">
            <v>896/512</v>
          </cell>
        </row>
        <row r="104">
          <cell r="A104" t="str">
            <v>HUNGARY</v>
          </cell>
          <cell r="E104" t="str">
            <v>896/640</v>
          </cell>
        </row>
        <row r="105">
          <cell r="A105" t="str">
            <v>ICELAND</v>
          </cell>
          <cell r="E105" t="str">
            <v>896/768</v>
          </cell>
        </row>
        <row r="106">
          <cell r="A106" t="str">
            <v>INDIA</v>
          </cell>
          <cell r="E106" t="str">
            <v>896/1024</v>
          </cell>
        </row>
        <row r="107">
          <cell r="A107" t="str">
            <v>INDONESIA</v>
          </cell>
          <cell r="E107" t="str">
            <v>1024/64</v>
          </cell>
        </row>
        <row r="108">
          <cell r="A108" t="str">
            <v>IRAN</v>
          </cell>
          <cell r="E108" t="str">
            <v>1024/128</v>
          </cell>
        </row>
        <row r="109">
          <cell r="A109" t="str">
            <v>IRAQ</v>
          </cell>
          <cell r="E109" t="str">
            <v>1024/192</v>
          </cell>
        </row>
        <row r="110">
          <cell r="A110" t="str">
            <v>IRELAND</v>
          </cell>
          <cell r="E110" t="str">
            <v>1024/256</v>
          </cell>
        </row>
        <row r="111">
          <cell r="A111" t="str">
            <v>ISRAEL</v>
          </cell>
          <cell r="E111" t="str">
            <v>1024/384</v>
          </cell>
        </row>
        <row r="112">
          <cell r="A112" t="str">
            <v>ITALY</v>
          </cell>
          <cell r="E112" t="str">
            <v>1024/512</v>
          </cell>
        </row>
        <row r="113">
          <cell r="A113" t="str">
            <v>JAMAICA</v>
          </cell>
          <cell r="E113" t="str">
            <v>1024/640</v>
          </cell>
        </row>
        <row r="114">
          <cell r="A114" t="str">
            <v>JAPAN</v>
          </cell>
          <cell r="E114" t="str">
            <v>1024/768</v>
          </cell>
        </row>
        <row r="115">
          <cell r="A115" t="str">
            <v>JARVIS ISLAND</v>
          </cell>
          <cell r="E115" t="str">
            <v>1024/896</v>
          </cell>
        </row>
        <row r="116">
          <cell r="A116" t="str">
            <v>JERSEY</v>
          </cell>
          <cell r="E116" t="str">
            <v>1152/64</v>
          </cell>
        </row>
        <row r="117">
          <cell r="A117" t="str">
            <v>JOHNSTON ATOLL</v>
          </cell>
          <cell r="E117" t="str">
            <v>1152/128</v>
          </cell>
        </row>
        <row r="118">
          <cell r="A118" t="str">
            <v>JORDAN</v>
          </cell>
          <cell r="E118" t="str">
            <v>1152/192</v>
          </cell>
        </row>
        <row r="119">
          <cell r="A119" t="str">
            <v>KAZAKHSTAN</v>
          </cell>
          <cell r="E119" t="str">
            <v>1152/256</v>
          </cell>
        </row>
        <row r="120">
          <cell r="A120" t="str">
            <v>KENYA</v>
          </cell>
          <cell r="E120" t="str">
            <v>1152/384</v>
          </cell>
        </row>
        <row r="121">
          <cell r="A121" t="str">
            <v>KIRIBATI</v>
          </cell>
          <cell r="E121" t="str">
            <v>1152/512</v>
          </cell>
        </row>
        <row r="122">
          <cell r="A122" t="str">
            <v>KOREA, NORTH</v>
          </cell>
          <cell r="E122" t="str">
            <v>1152/640</v>
          </cell>
        </row>
        <row r="123">
          <cell r="A123" t="str">
            <v>KOREA, SOUTH</v>
          </cell>
          <cell r="E123" t="str">
            <v>1152/768</v>
          </cell>
        </row>
        <row r="124">
          <cell r="A124" t="str">
            <v>KUWAIT</v>
          </cell>
          <cell r="E124" t="str">
            <v>1152/896</v>
          </cell>
        </row>
        <row r="125">
          <cell r="A125" t="str">
            <v>KYRGYZSTAN</v>
          </cell>
          <cell r="E125" t="str">
            <v>1152/1024</v>
          </cell>
        </row>
        <row r="126">
          <cell r="A126" t="str">
            <v>LAOS</v>
          </cell>
          <cell r="E126" t="str">
            <v>1280/64</v>
          </cell>
        </row>
        <row r="127">
          <cell r="A127" t="str">
            <v>LATVIA</v>
          </cell>
          <cell r="E127" t="str">
            <v>1280/128</v>
          </cell>
        </row>
        <row r="128">
          <cell r="A128" t="str">
            <v>LEBANON</v>
          </cell>
          <cell r="E128" t="str">
            <v>1280/192</v>
          </cell>
        </row>
        <row r="129">
          <cell r="A129" t="str">
            <v>LESOTHO</v>
          </cell>
          <cell r="E129" t="str">
            <v>1280/256</v>
          </cell>
        </row>
        <row r="130">
          <cell r="A130" t="str">
            <v>LIBERIA</v>
          </cell>
          <cell r="E130" t="str">
            <v>1280/384</v>
          </cell>
        </row>
        <row r="131">
          <cell r="A131" t="str">
            <v>LIBYA</v>
          </cell>
          <cell r="E131" t="str">
            <v>1280/512</v>
          </cell>
        </row>
        <row r="132">
          <cell r="A132" t="str">
            <v>LIECHTENSTEIN</v>
          </cell>
          <cell r="E132" t="str">
            <v>1280/640</v>
          </cell>
        </row>
        <row r="133">
          <cell r="A133" t="str">
            <v>LITHUANIA</v>
          </cell>
          <cell r="E133" t="str">
            <v>1280/768</v>
          </cell>
        </row>
        <row r="134">
          <cell r="A134" t="str">
            <v>LUXEMBOURG</v>
          </cell>
          <cell r="E134" t="str">
            <v>1280/896</v>
          </cell>
        </row>
        <row r="135">
          <cell r="A135" t="str">
            <v>MACAO</v>
          </cell>
          <cell r="E135" t="str">
            <v>1280/1024</v>
          </cell>
        </row>
        <row r="136">
          <cell r="A136" t="str">
            <v>MACEDONIA</v>
          </cell>
          <cell r="E136" t="str">
            <v>1408/64</v>
          </cell>
        </row>
        <row r="137">
          <cell r="A137" t="str">
            <v>MADAGASCAR</v>
          </cell>
          <cell r="E137" t="str">
            <v>1408/128</v>
          </cell>
        </row>
        <row r="138">
          <cell r="A138" t="str">
            <v>MALAWI</v>
          </cell>
          <cell r="E138" t="str">
            <v>1408/192</v>
          </cell>
        </row>
        <row r="139">
          <cell r="A139" t="str">
            <v>MALAYSIA</v>
          </cell>
          <cell r="E139" t="str">
            <v>1408/256</v>
          </cell>
        </row>
        <row r="140">
          <cell r="A140" t="str">
            <v>MALDIVES</v>
          </cell>
          <cell r="E140" t="str">
            <v>1408/384</v>
          </cell>
        </row>
        <row r="141">
          <cell r="A141" t="str">
            <v>MALI</v>
          </cell>
          <cell r="E141" t="str">
            <v>1408/512</v>
          </cell>
        </row>
        <row r="142">
          <cell r="A142" t="str">
            <v>MALTA</v>
          </cell>
          <cell r="E142" t="str">
            <v>1408/640</v>
          </cell>
        </row>
        <row r="143">
          <cell r="A143" t="str">
            <v>MANN</v>
          </cell>
          <cell r="E143" t="str">
            <v>1408/768</v>
          </cell>
        </row>
        <row r="144">
          <cell r="A144" t="str">
            <v>MARSHALL ISLANDS</v>
          </cell>
          <cell r="E144" t="str">
            <v>1408/896</v>
          </cell>
        </row>
        <row r="145">
          <cell r="A145" t="str">
            <v>MARTINIQUE</v>
          </cell>
          <cell r="E145" t="str">
            <v>1408/1024</v>
          </cell>
        </row>
        <row r="146">
          <cell r="A146" t="str">
            <v>MAURITANIA</v>
          </cell>
          <cell r="E146" t="str">
            <v>1536/64</v>
          </cell>
        </row>
        <row r="147">
          <cell r="A147" t="str">
            <v>MAURITIUS</v>
          </cell>
          <cell r="E147" t="str">
            <v>1536/128</v>
          </cell>
        </row>
        <row r="148">
          <cell r="A148" t="str">
            <v>MAYOTTE</v>
          </cell>
          <cell r="E148" t="str">
            <v>1536/192</v>
          </cell>
        </row>
        <row r="149">
          <cell r="A149" t="str">
            <v>MEXICO</v>
          </cell>
          <cell r="E149" t="str">
            <v>1536/256</v>
          </cell>
        </row>
        <row r="150">
          <cell r="A150" t="str">
            <v>MICRONESIA</v>
          </cell>
          <cell r="E150" t="str">
            <v>1536/384</v>
          </cell>
        </row>
        <row r="151">
          <cell r="A151" t="str">
            <v>MIDWAY ISLAND</v>
          </cell>
          <cell r="E151" t="str">
            <v>1536/512</v>
          </cell>
        </row>
        <row r="152">
          <cell r="A152" t="str">
            <v>MOLDOVA</v>
          </cell>
          <cell r="E152" t="str">
            <v>1536/640</v>
          </cell>
        </row>
        <row r="153">
          <cell r="A153" t="str">
            <v>MONACO</v>
          </cell>
          <cell r="E153" t="str">
            <v>1536/768</v>
          </cell>
        </row>
        <row r="154">
          <cell r="A154" t="str">
            <v>MONGOLIA</v>
          </cell>
          <cell r="E154" t="str">
            <v>1536/896</v>
          </cell>
        </row>
        <row r="155">
          <cell r="A155" t="str">
            <v>MONTSERRAT</v>
          </cell>
          <cell r="E155" t="str">
            <v>1536/1024</v>
          </cell>
        </row>
        <row r="156">
          <cell r="A156" t="str">
            <v>MOROCCO</v>
          </cell>
          <cell r="E156" t="str">
            <v>1664/64</v>
          </cell>
        </row>
        <row r="157">
          <cell r="A157" t="str">
            <v>MOZAMBIQUE</v>
          </cell>
          <cell r="E157" t="str">
            <v>1664/128</v>
          </cell>
        </row>
        <row r="158">
          <cell r="A158" t="str">
            <v>MYANMAR</v>
          </cell>
          <cell r="E158" t="str">
            <v>1664/192</v>
          </cell>
        </row>
        <row r="159">
          <cell r="A159" t="str">
            <v>NAMIBIA</v>
          </cell>
          <cell r="E159" t="str">
            <v>1664/256</v>
          </cell>
        </row>
        <row r="160">
          <cell r="A160" t="str">
            <v>NAURU</v>
          </cell>
          <cell r="E160" t="str">
            <v>1664/384</v>
          </cell>
        </row>
        <row r="161">
          <cell r="A161" t="str">
            <v>NAVASSA ISLAND</v>
          </cell>
          <cell r="E161" t="str">
            <v>1664/512</v>
          </cell>
        </row>
        <row r="162">
          <cell r="A162" t="str">
            <v>NEPAL</v>
          </cell>
          <cell r="E162" t="str">
            <v>1664/640</v>
          </cell>
        </row>
        <row r="163">
          <cell r="A163" t="str">
            <v>NETHERLANDS</v>
          </cell>
          <cell r="E163" t="str">
            <v>1664/768</v>
          </cell>
        </row>
        <row r="164">
          <cell r="A164" t="str">
            <v>NETHERLANDS ANTILLES</v>
          </cell>
          <cell r="E164" t="str">
            <v>1664/896</v>
          </cell>
        </row>
        <row r="165">
          <cell r="A165" t="str">
            <v>NEW CALEDONIA</v>
          </cell>
          <cell r="E165" t="str">
            <v>1664/1024</v>
          </cell>
        </row>
        <row r="166">
          <cell r="A166" t="str">
            <v>NEW ZEALAND</v>
          </cell>
          <cell r="E166" t="str">
            <v>1792/64</v>
          </cell>
        </row>
        <row r="167">
          <cell r="A167" t="str">
            <v>NICARAGUA</v>
          </cell>
          <cell r="E167" t="str">
            <v>1792/128</v>
          </cell>
        </row>
        <row r="168">
          <cell r="A168" t="str">
            <v>NIGER</v>
          </cell>
          <cell r="E168" t="str">
            <v>1792/192</v>
          </cell>
        </row>
        <row r="169">
          <cell r="A169" t="str">
            <v>NIGERIA</v>
          </cell>
          <cell r="E169" t="str">
            <v>1792/256</v>
          </cell>
        </row>
        <row r="170">
          <cell r="A170" t="str">
            <v>NIUE</v>
          </cell>
          <cell r="E170" t="str">
            <v>1792/384</v>
          </cell>
        </row>
        <row r="171">
          <cell r="A171" t="str">
            <v>NORFOLK ISLAND</v>
          </cell>
          <cell r="E171" t="str">
            <v>1792/512</v>
          </cell>
        </row>
        <row r="172">
          <cell r="A172" t="str">
            <v>NORTHERN MARIANA ISLANDS</v>
          </cell>
          <cell r="E172" t="str">
            <v>1792/640</v>
          </cell>
        </row>
        <row r="173">
          <cell r="A173" t="str">
            <v>NORWAY</v>
          </cell>
          <cell r="E173" t="str">
            <v>1792/768</v>
          </cell>
        </row>
        <row r="174">
          <cell r="A174" t="str">
            <v>OMAN</v>
          </cell>
          <cell r="E174" t="str">
            <v>1792/896</v>
          </cell>
        </row>
        <row r="175">
          <cell r="A175" t="str">
            <v>PAKISTAN</v>
          </cell>
          <cell r="E175" t="str">
            <v>1792/1024</v>
          </cell>
        </row>
        <row r="176">
          <cell r="A176" t="str">
            <v>PALAU</v>
          </cell>
          <cell r="E176" t="str">
            <v>1920/64</v>
          </cell>
        </row>
        <row r="177">
          <cell r="A177" t="str">
            <v>PALESTINIAN TERRITORY</v>
          </cell>
          <cell r="E177" t="str">
            <v xml:space="preserve">1920/128 </v>
          </cell>
        </row>
        <row r="178">
          <cell r="A178" t="str">
            <v>PALMYRA ATOLL</v>
          </cell>
          <cell r="E178" t="str">
            <v>1920/192</v>
          </cell>
        </row>
        <row r="179">
          <cell r="A179" t="str">
            <v>PANAMA</v>
          </cell>
          <cell r="E179" t="str">
            <v>1920/256</v>
          </cell>
        </row>
        <row r="180">
          <cell r="A180" t="str">
            <v>PAPUA NEW GUINEA</v>
          </cell>
          <cell r="E180" t="str">
            <v>1920/384</v>
          </cell>
        </row>
        <row r="181">
          <cell r="A181" t="str">
            <v>PARAGUAY</v>
          </cell>
          <cell r="E181" t="str">
            <v>1920/512</v>
          </cell>
        </row>
        <row r="182">
          <cell r="A182" t="str">
            <v>PERU</v>
          </cell>
          <cell r="E182" t="str">
            <v>1920/640</v>
          </cell>
        </row>
        <row r="183">
          <cell r="A183" t="str">
            <v>PHILIPPINES</v>
          </cell>
          <cell r="E183" t="str">
            <v>1920/768</v>
          </cell>
        </row>
        <row r="184">
          <cell r="A184" t="str">
            <v>PITCAIRN</v>
          </cell>
          <cell r="E184" t="str">
            <v>1920/896</v>
          </cell>
        </row>
        <row r="185">
          <cell r="A185" t="str">
            <v>POLAND</v>
          </cell>
          <cell r="E185" t="str">
            <v>1920/1024</v>
          </cell>
        </row>
        <row r="186">
          <cell r="A186" t="str">
            <v>PORTUGAL</v>
          </cell>
          <cell r="E186" t="str">
            <v>2048/64</v>
          </cell>
        </row>
        <row r="187">
          <cell r="A187" t="str">
            <v>PUERTO RICO</v>
          </cell>
          <cell r="E187" t="str">
            <v>2048/128</v>
          </cell>
        </row>
        <row r="188">
          <cell r="A188" t="str">
            <v>QATAR</v>
          </cell>
          <cell r="E188" t="str">
            <v>2048/192</v>
          </cell>
        </row>
        <row r="189">
          <cell r="A189" t="str">
            <v>REUNION</v>
          </cell>
          <cell r="E189" t="str">
            <v>2048/256</v>
          </cell>
        </row>
        <row r="190">
          <cell r="A190" t="str">
            <v>ROMANIA</v>
          </cell>
          <cell r="E190" t="str">
            <v>2048/384</v>
          </cell>
        </row>
        <row r="191">
          <cell r="A191" t="str">
            <v>RUSSIAN FEDERATION</v>
          </cell>
          <cell r="E191" t="str">
            <v>2048/512</v>
          </cell>
        </row>
        <row r="192">
          <cell r="A192" t="str">
            <v>RWANDA</v>
          </cell>
          <cell r="E192" t="str">
            <v>2048/640</v>
          </cell>
        </row>
        <row r="193">
          <cell r="A193" t="str">
            <v>SAINT HELENA</v>
          </cell>
          <cell r="E193" t="str">
            <v>2048/768</v>
          </cell>
        </row>
        <row r="194">
          <cell r="A194" t="str">
            <v>SAINT KITTS AND NEVIS</v>
          </cell>
          <cell r="E194" t="str">
            <v>2048/896</v>
          </cell>
        </row>
        <row r="195">
          <cell r="A195" t="str">
            <v>SAINT LUCIA</v>
          </cell>
          <cell r="E195" t="str">
            <v>2048/1024</v>
          </cell>
        </row>
        <row r="196">
          <cell r="A196" t="str">
            <v>SAINT PIERRE AND MIQUELON</v>
          </cell>
          <cell r="E196" t="str">
            <v>3072/64</v>
          </cell>
        </row>
        <row r="197">
          <cell r="A197" t="str">
            <v>SAINT VINCENT AND THE GRENADINES</v>
          </cell>
          <cell r="E197" t="str">
            <v>3072/128</v>
          </cell>
        </row>
        <row r="198">
          <cell r="A198" t="str">
            <v>SAMOA</v>
          </cell>
          <cell r="E198" t="str">
            <v>3072/192</v>
          </cell>
        </row>
        <row r="199">
          <cell r="A199" t="str">
            <v>SAN MARINO</v>
          </cell>
          <cell r="E199" t="str">
            <v>3072/256</v>
          </cell>
        </row>
        <row r="200">
          <cell r="A200" t="str">
            <v>SAO TOME AND PRINCIPE</v>
          </cell>
          <cell r="E200" t="str">
            <v>3072/384</v>
          </cell>
        </row>
        <row r="201">
          <cell r="A201" t="str">
            <v>SAUDI ARABIA</v>
          </cell>
          <cell r="E201" t="str">
            <v>3072/512</v>
          </cell>
        </row>
        <row r="202">
          <cell r="A202" t="str">
            <v>SENEGAL</v>
          </cell>
          <cell r="E202" t="str">
            <v>3072/640</v>
          </cell>
        </row>
        <row r="203">
          <cell r="A203" t="str">
            <v>SERBIA AND MONTENEGRO</v>
          </cell>
          <cell r="E203" t="str">
            <v>3072/768</v>
          </cell>
        </row>
        <row r="204">
          <cell r="A204" t="str">
            <v>SEYCHELLES</v>
          </cell>
          <cell r="E204" t="str">
            <v>3072/896</v>
          </cell>
        </row>
        <row r="205">
          <cell r="A205" t="str">
            <v>SIERRA LEONE</v>
          </cell>
          <cell r="E205" t="str">
            <v>3072/1024</v>
          </cell>
        </row>
        <row r="206">
          <cell r="A206" t="str">
            <v>SINGAPORE</v>
          </cell>
          <cell r="E206" t="str">
            <v>4096/64</v>
          </cell>
        </row>
        <row r="207">
          <cell r="A207" t="str">
            <v>SLOVAKIA</v>
          </cell>
          <cell r="E207" t="str">
            <v>4096/128</v>
          </cell>
        </row>
        <row r="208">
          <cell r="A208" t="str">
            <v>SLOVENIA</v>
          </cell>
          <cell r="E208" t="str">
            <v>4096/192</v>
          </cell>
        </row>
        <row r="209">
          <cell r="A209" t="str">
            <v>SOLOMON ISLANDS</v>
          </cell>
          <cell r="E209" t="str">
            <v>4096/256</v>
          </cell>
        </row>
        <row r="210">
          <cell r="A210" t="str">
            <v>SOMALIA</v>
          </cell>
          <cell r="E210" t="str">
            <v>4096/384</v>
          </cell>
        </row>
        <row r="211">
          <cell r="A211" t="str">
            <v>SOUTH AFRICA</v>
          </cell>
          <cell r="E211" t="str">
            <v>4096/512</v>
          </cell>
        </row>
        <row r="212">
          <cell r="A212" t="str">
            <v>SOUTH GEORGIA AND THE SOUTH SANDWICH ISLANDS</v>
          </cell>
          <cell r="E212" t="str">
            <v>4096/640</v>
          </cell>
        </row>
        <row r="213">
          <cell r="A213" t="str">
            <v>SPAIN</v>
          </cell>
          <cell r="E213" t="str">
            <v>4096/768</v>
          </cell>
        </row>
        <row r="214">
          <cell r="A214" t="str">
            <v>SPRATLY ISLANDS</v>
          </cell>
          <cell r="E214" t="str">
            <v>4096/896</v>
          </cell>
        </row>
        <row r="215">
          <cell r="A215" t="str">
            <v>SRI LANKA</v>
          </cell>
          <cell r="E215" t="str">
            <v>4096/1024</v>
          </cell>
        </row>
        <row r="216">
          <cell r="A216" t="str">
            <v>SUDAN</v>
          </cell>
          <cell r="E216" t="str">
            <v>64/64</v>
          </cell>
        </row>
        <row r="217">
          <cell r="A217" t="str">
            <v>SURINAME</v>
          </cell>
          <cell r="E217" t="str">
            <v>128/128</v>
          </cell>
        </row>
        <row r="218">
          <cell r="A218" t="str">
            <v>SVALBARD AND JAN MAYEN</v>
          </cell>
          <cell r="E218" t="str">
            <v>256/256</v>
          </cell>
        </row>
        <row r="219">
          <cell r="A219" t="str">
            <v>SWAZILAND</v>
          </cell>
          <cell r="E219" t="str">
            <v>384/384</v>
          </cell>
        </row>
        <row r="220">
          <cell r="A220" t="str">
            <v>SWEDEN</v>
          </cell>
          <cell r="E220" t="str">
            <v>512/512</v>
          </cell>
        </row>
        <row r="221">
          <cell r="A221" t="str">
            <v>SWITZERLAND</v>
          </cell>
          <cell r="E221" t="str">
            <v>768/768</v>
          </cell>
        </row>
        <row r="222">
          <cell r="A222" t="str">
            <v>SYRIA</v>
          </cell>
          <cell r="E222" t="str">
            <v>896/896</v>
          </cell>
        </row>
        <row r="223">
          <cell r="A223" t="str">
            <v>TAIWAN</v>
          </cell>
          <cell r="E223" t="str">
            <v>1024/1024</v>
          </cell>
        </row>
        <row r="224">
          <cell r="A224" t="str">
            <v>TAJIKISTAN</v>
          </cell>
        </row>
        <row r="225">
          <cell r="A225" t="str">
            <v>TANZANIA</v>
          </cell>
        </row>
        <row r="226">
          <cell r="A226" t="str">
            <v>THAILAND</v>
          </cell>
        </row>
        <row r="227">
          <cell r="A227" t="str">
            <v>TOGO</v>
          </cell>
        </row>
        <row r="228">
          <cell r="A228" t="str">
            <v>TOKELAU</v>
          </cell>
        </row>
        <row r="229">
          <cell r="A229" t="str">
            <v>TONGA</v>
          </cell>
        </row>
        <row r="230">
          <cell r="A230" t="str">
            <v>TRINIDAD AND TOBAGO</v>
          </cell>
        </row>
        <row r="231">
          <cell r="A231" t="str">
            <v>TRISTAN DA CUNHA</v>
          </cell>
        </row>
        <row r="232">
          <cell r="A232" t="str">
            <v>TROMELIN ISLAND</v>
          </cell>
        </row>
        <row r="233">
          <cell r="A233" t="str">
            <v>TUNISIA</v>
          </cell>
        </row>
        <row r="234">
          <cell r="A234" t="str">
            <v>TURKEY</v>
          </cell>
        </row>
        <row r="235">
          <cell r="A235" t="str">
            <v>TURKMENISTAN</v>
          </cell>
        </row>
        <row r="236">
          <cell r="A236" t="str">
            <v>TURKS AND CAICOS ISLANDS</v>
          </cell>
        </row>
        <row r="237">
          <cell r="A237" t="str">
            <v>TUVALU</v>
          </cell>
        </row>
        <row r="238">
          <cell r="A238" t="str">
            <v>UGANDA</v>
          </cell>
        </row>
        <row r="239">
          <cell r="A239" t="str">
            <v>UKRAINE</v>
          </cell>
        </row>
        <row r="240">
          <cell r="A240" t="str">
            <v>UNITED ARAB EMIRATES</v>
          </cell>
        </row>
        <row r="241">
          <cell r="A241" t="str">
            <v>UNITED KINGDOM</v>
          </cell>
        </row>
        <row r="242">
          <cell r="A242" t="str">
            <v>UNITED STATES</v>
          </cell>
        </row>
        <row r="243">
          <cell r="A243" t="str">
            <v>URUGUAY</v>
          </cell>
        </row>
        <row r="244">
          <cell r="A244" t="str">
            <v>US VIRGIN ISLANDS</v>
          </cell>
        </row>
        <row r="245">
          <cell r="A245" t="str">
            <v>UZBEKISTAN</v>
          </cell>
        </row>
        <row r="246">
          <cell r="A246" t="str">
            <v>VANUATU</v>
          </cell>
        </row>
        <row r="247">
          <cell r="A247" t="str">
            <v>VATICAN CITY</v>
          </cell>
        </row>
        <row r="248">
          <cell r="A248" t="str">
            <v>VENEZUELA</v>
          </cell>
        </row>
        <row r="249">
          <cell r="A249" t="str">
            <v>VIETNAM</v>
          </cell>
        </row>
        <row r="250">
          <cell r="A250" t="str">
            <v>WAKE ISLAND</v>
          </cell>
        </row>
        <row r="251">
          <cell r="A251" t="str">
            <v>WALLIS AND FUTUNA</v>
          </cell>
        </row>
        <row r="252">
          <cell r="A252" t="str">
            <v>WESTERN SAHARA</v>
          </cell>
        </row>
        <row r="253">
          <cell r="A253" t="str">
            <v>YEMEN</v>
          </cell>
        </row>
        <row r="254">
          <cell r="A254" t="str">
            <v>ZAMBIA</v>
          </cell>
        </row>
        <row r="255">
          <cell r="A255" t="str">
            <v>ZIMBABWE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48"/>
  <sheetViews>
    <sheetView showGridLines="0" topLeftCell="A10" workbookViewId="0">
      <selection activeCell="A41" sqref="A41"/>
    </sheetView>
  </sheetViews>
  <sheetFormatPr baseColWidth="8" defaultRowHeight="12.75"/>
  <cols>
    <col width="10.140625" bestFit="1" customWidth="1" style="1" min="1" max="1"/>
    <col width="16.5703125" customWidth="1" style="1" min="2" max="2"/>
    <col width="17.5703125" customWidth="1" style="1" min="3" max="3"/>
    <col width="14.140625" customWidth="1" style="1" min="4" max="4"/>
    <col width="30.42578125" customWidth="1" style="1" min="5" max="5"/>
    <col width="34.85546875" customWidth="1" style="1" min="6" max="6"/>
    <col width="6.7109375" customWidth="1" style="1" min="7" max="7"/>
    <col width="6.85546875" customWidth="1" style="1" min="8" max="8"/>
    <col width="8.28515625" customWidth="1" style="1" min="9" max="9"/>
    <col width="9.140625" customWidth="1" style="1" min="10" max="16384"/>
  </cols>
  <sheetData>
    <row r="1" ht="18.75" customHeight="1">
      <c r="A1" s="19" t="n"/>
      <c r="B1" s="20" t="n"/>
      <c r="C1" s="20" t="n"/>
      <c r="D1" s="21" t="n"/>
      <c r="E1" s="22" t="inlineStr">
        <is>
          <t xml:space="preserve">TẬP ĐOÀN VIỄN THÔNG QUÂN ĐỘI                  </t>
        </is>
      </c>
      <c r="F1" s="23" t="n"/>
      <c r="G1" s="20" t="n"/>
      <c r="H1" s="20" t="n"/>
      <c r="I1" s="24" t="n"/>
    </row>
    <row r="2" ht="18.75" customHeight="1">
      <c r="A2" s="25" t="n"/>
      <c r="D2" s="8" t="n"/>
      <c r="F2" s="9" t="n"/>
      <c r="I2" s="26" t="n"/>
    </row>
    <row r="3">
      <c r="A3" s="25" t="n"/>
      <c r="I3" s="26" t="n"/>
    </row>
    <row r="4">
      <c r="A4" s="25" t="n"/>
      <c r="I4" s="26" t="n"/>
    </row>
    <row r="5">
      <c r="A5" s="25" t="n"/>
      <c r="I5" s="26" t="n"/>
    </row>
    <row r="6">
      <c r="A6" s="25" t="n"/>
      <c r="I6" s="26" t="n"/>
    </row>
    <row r="7">
      <c r="A7" s="25" t="n"/>
      <c r="I7" s="26" t="n"/>
    </row>
    <row r="8">
      <c r="A8" s="25" t="n"/>
      <c r="I8" s="26" t="n"/>
    </row>
    <row r="9" ht="22.5" customHeight="1">
      <c r="A9" s="177" t="inlineStr">
        <is>
          <t>APP VIETTELPAY</t>
        </is>
      </c>
      <c r="I9" s="178" t="n"/>
    </row>
    <row r="10" ht="30" customHeight="1">
      <c r="A10" s="179" t="inlineStr">
        <is>
          <t>TÀI LIỆU KỊCH BẢN KIỂM THỬ CHỨC NĂNG</t>
        </is>
      </c>
      <c r="I10" s="178" t="n"/>
      <c r="J10" s="2" t="n"/>
    </row>
    <row r="11" ht="20.25" customHeight="1">
      <c r="A11" s="180" t="n"/>
      <c r="I11" s="178" t="n"/>
    </row>
    <row r="12">
      <c r="A12" s="25" t="n"/>
      <c r="I12" s="26" t="n"/>
    </row>
    <row r="13">
      <c r="A13" s="25" t="n"/>
      <c r="I13" s="26" t="n"/>
    </row>
    <row r="14">
      <c r="A14" s="25" t="n"/>
      <c r="I14" s="26" t="n"/>
    </row>
    <row r="15">
      <c r="A15" s="25" t="n"/>
      <c r="F15" s="10" t="n"/>
      <c r="I15" s="26" t="n"/>
    </row>
    <row r="16">
      <c r="A16" s="25" t="n"/>
      <c r="C16" s="1" t="inlineStr">
        <is>
          <t xml:space="preserve">Mã dự án   </t>
        </is>
      </c>
      <c r="D16" s="1" t="inlineStr">
        <is>
          <t>:..điền mã dự án</t>
        </is>
      </c>
      <c r="E16" s="11" t="n"/>
      <c r="I16" s="26" t="n"/>
    </row>
    <row r="17">
      <c r="A17" s="27" t="n"/>
      <c r="B17" s="10" t="n"/>
      <c r="C17" s="1" t="inlineStr">
        <is>
          <t>Mã tài liệu</t>
        </is>
      </c>
      <c r="D17" s="1" t="inlineStr">
        <is>
          <t>KBKTCN</t>
        </is>
      </c>
      <c r="E17" s="11" t="n"/>
      <c r="F17" s="10" t="n"/>
      <c r="G17" s="10" t="n"/>
      <c r="H17" s="10" t="n"/>
      <c r="I17" s="28" t="n"/>
    </row>
    <row r="18">
      <c r="A18" s="25" t="n"/>
      <c r="E18" s="12" t="n"/>
      <c r="I18" s="26" t="n"/>
    </row>
    <row r="19">
      <c r="A19" s="25" t="n"/>
      <c r="E19" s="12" t="n"/>
      <c r="I19" s="26" t="n"/>
    </row>
    <row r="20" ht="13.5" customHeight="1">
      <c r="A20" s="29" t="inlineStr">
        <is>
          <t>Người lập:</t>
        </is>
      </c>
      <c r="C20" s="1" t="inlineStr">
        <is>
          <t>yennth72</t>
        </is>
      </c>
      <c r="I20" s="26" t="n"/>
    </row>
    <row r="21">
      <c r="A21" s="30" t="n"/>
      <c r="C21" s="13" t="n"/>
      <c r="F21" s="14" t="inlineStr">
        <is>
          <t>Ngày lập: 02/07/2025</t>
        </is>
      </c>
      <c r="H21" s="15" t="n"/>
      <c r="I21" s="26" t="n"/>
    </row>
    <row r="22">
      <c r="A22" s="31" t="n"/>
      <c r="I22" s="26" t="n"/>
    </row>
    <row r="23">
      <c r="A23" s="30" t="n"/>
      <c r="I23" s="26" t="n"/>
    </row>
    <row r="24" ht="13.5" customHeight="1">
      <c r="A24" s="29" t="n"/>
      <c r="I24" s="26" t="n"/>
    </row>
    <row r="25" ht="13.5" customHeight="1">
      <c r="A25" s="29" t="n"/>
      <c r="I25" s="26" t="n"/>
    </row>
    <row r="26" ht="13.5" customHeight="1">
      <c r="A26" s="29" t="inlineStr">
        <is>
          <t>Người kiểm tra:</t>
        </is>
      </c>
      <c r="C26" s="1" t="inlineStr">
        <is>
          <t>yennth72</t>
        </is>
      </c>
      <c r="I26" s="26" t="n"/>
    </row>
    <row r="27">
      <c r="A27" s="30" t="n"/>
      <c r="C27" s="12" t="n"/>
      <c r="F27" s="1" t="inlineStr">
        <is>
          <t xml:space="preserve">Ngày kiểm tra: </t>
        </is>
      </c>
      <c r="I27" s="26" t="n"/>
    </row>
    <row r="28">
      <c r="A28" s="30" t="n"/>
      <c r="F28" s="15" t="n"/>
      <c r="I28" s="26" t="n"/>
    </row>
    <row r="29">
      <c r="A29" s="30" t="n"/>
      <c r="I29" s="26" t="n"/>
    </row>
    <row r="30">
      <c r="A30" s="30" t="n"/>
      <c r="I30" s="26" t="n"/>
    </row>
    <row r="31">
      <c r="A31" s="30" t="n"/>
      <c r="I31" s="26" t="n"/>
    </row>
    <row r="32" ht="13.5" customHeight="1">
      <c r="A32" s="29" t="inlineStr">
        <is>
          <t>Người phê duyệt:</t>
        </is>
      </c>
      <c r="I32" s="26" t="n"/>
    </row>
    <row r="33">
      <c r="A33" s="25" t="n"/>
      <c r="C33" s="12" t="n"/>
      <c r="F33" s="1" t="inlineStr">
        <is>
          <t>Ngày phê duyệt:</t>
        </is>
      </c>
      <c r="I33" s="26" t="n"/>
    </row>
    <row r="34">
      <c r="A34" s="25" t="n"/>
      <c r="I34" s="26" t="n"/>
    </row>
    <row r="35" ht="13.5" customHeight="1" thickBot="1">
      <c r="A35" s="32" t="n"/>
      <c r="B35" s="33" t="n"/>
      <c r="C35" s="33" t="n"/>
      <c r="D35" s="33" t="n"/>
      <c r="E35" s="33" t="n"/>
      <c r="F35" s="33" t="n"/>
      <c r="G35" s="33" t="n"/>
      <c r="H35" s="33" t="n"/>
      <c r="I35" s="34" t="n"/>
    </row>
    <row r="37" ht="25.5" customHeight="1">
      <c r="A37" s="126" t="inlineStr">
        <is>
          <t>BẢNG GHI NHẬN THAY ĐỔI TÀI LIỆU</t>
        </is>
      </c>
    </row>
    <row r="39" ht="25.5" customHeight="1">
      <c r="A39" s="127" t="inlineStr">
        <is>
          <t>Ngày thay đổi</t>
        </is>
      </c>
      <c r="B39" s="127" t="inlineStr">
        <is>
          <t>Vị trí thay đổi</t>
        </is>
      </c>
      <c r="C39" s="127" t="inlineStr">
        <is>
          <t>Lý do</t>
        </is>
      </c>
      <c r="D39" s="127" t="inlineStr">
        <is>
          <t>Nguồn gốc</t>
        </is>
      </c>
      <c r="E39" s="127" t="inlineStr">
        <is>
          <t>Phiên bản cũ</t>
        </is>
      </c>
      <c r="F39" s="127" t="inlineStr">
        <is>
          <t>Mô tả thay đổi</t>
        </is>
      </c>
      <c r="G39" s="127" t="inlineStr">
        <is>
          <t>Phiên bản mới</t>
        </is>
      </c>
      <c r="H39" s="181" t="n"/>
      <c r="I39" s="182" t="n"/>
    </row>
    <row r="40" ht="15" customHeight="1">
      <c r="A40" s="16" t="inlineStr">
        <is>
          <t>23/04/2026</t>
        </is>
      </c>
      <c r="B40" s="17" t="n"/>
      <c r="C40" s="17" t="inlineStr">
        <is>
          <t>Khởi tạo</t>
        </is>
      </c>
      <c r="D40" s="17" t="n"/>
      <c r="E40" s="17" t="n"/>
      <c r="F40" s="17" t="n"/>
      <c r="G40" s="116" t="inlineStr">
        <is>
          <t>v1.0</t>
        </is>
      </c>
      <c r="H40" s="181" t="n"/>
      <c r="I40" s="18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  <c r="CU40" s="3" t="n"/>
      <c r="CV40" s="3" t="n"/>
      <c r="CW40" s="3" t="n"/>
      <c r="CX40" s="3" t="n"/>
      <c r="CY40" s="3" t="n"/>
      <c r="CZ40" s="3" t="n"/>
      <c r="DA40" s="3" t="n"/>
      <c r="DB40" s="3" t="n"/>
      <c r="DC40" s="3" t="n"/>
      <c r="DD40" s="3" t="n"/>
      <c r="DE40" s="3" t="n"/>
      <c r="DF40" s="3" t="n"/>
      <c r="DG40" s="3" t="n"/>
      <c r="DH40" s="3" t="n"/>
      <c r="DI40" s="3" t="n"/>
      <c r="DJ40" s="3" t="n"/>
      <c r="DK40" s="3" t="n"/>
      <c r="DL40" s="3" t="n"/>
      <c r="DM40" s="3" t="n"/>
      <c r="DN40" s="3" t="n"/>
      <c r="DO40" s="3" t="n"/>
      <c r="DP40" s="3" t="n"/>
      <c r="DQ40" s="3" t="n"/>
      <c r="DR40" s="3" t="n"/>
      <c r="DS40" s="3" t="n"/>
      <c r="DT40" s="3" t="n"/>
      <c r="DU40" s="3" t="n"/>
      <c r="DV40" s="3" t="n"/>
      <c r="DW40" s="3" t="n"/>
      <c r="DX40" s="3" t="n"/>
      <c r="DY40" s="3" t="n"/>
      <c r="DZ40" s="3" t="n"/>
      <c r="EA40" s="3" t="n"/>
      <c r="EB40" s="3" t="n"/>
      <c r="EC40" s="3" t="n"/>
      <c r="ED40" s="3" t="n"/>
      <c r="EE40" s="3" t="n"/>
      <c r="EF40" s="3" t="n"/>
      <c r="EG40" s="3" t="n"/>
      <c r="EH40" s="3" t="n"/>
      <c r="EI40" s="3" t="n"/>
      <c r="EJ40" s="3" t="n"/>
      <c r="EK40" s="3" t="n"/>
      <c r="EL40" s="3" t="n"/>
      <c r="EM40" s="3" t="n"/>
      <c r="EN40" s="3" t="n"/>
      <c r="EO40" s="3" t="n"/>
      <c r="EP40" s="3" t="n"/>
      <c r="EQ40" s="3" t="n"/>
      <c r="ER40" s="3" t="n"/>
      <c r="ES40" s="3" t="n"/>
      <c r="ET40" s="3" t="n"/>
      <c r="EU40" s="3" t="n"/>
      <c r="EV40" s="3" t="n"/>
      <c r="EW40" s="3" t="n"/>
      <c r="EX40" s="3" t="n"/>
      <c r="EY40" s="3" t="n"/>
      <c r="EZ40" s="3" t="n"/>
      <c r="FA40" s="3" t="n"/>
      <c r="FB40" s="3" t="n"/>
      <c r="FC40" s="3" t="n"/>
      <c r="FD40" s="3" t="n"/>
      <c r="FE40" s="3" t="n"/>
      <c r="FF40" s="3" t="n"/>
      <c r="FG40" s="3" t="n"/>
      <c r="FH40" s="3" t="n"/>
      <c r="FI40" s="3" t="n"/>
      <c r="FJ40" s="3" t="n"/>
      <c r="FK40" s="3" t="n"/>
      <c r="FL40" s="3" t="n"/>
      <c r="FM40" s="3" t="n"/>
      <c r="FN40" s="3" t="n"/>
      <c r="FO40" s="3" t="n"/>
      <c r="FP40" s="3" t="n"/>
      <c r="FQ40" s="3" t="n"/>
      <c r="FR40" s="3" t="n"/>
      <c r="FS40" s="3" t="n"/>
      <c r="FT40" s="3" t="n"/>
      <c r="FU40" s="3" t="n"/>
      <c r="FV40" s="3" t="n"/>
      <c r="FW40" s="3" t="n"/>
      <c r="FX40" s="3" t="n"/>
      <c r="FY40" s="3" t="n"/>
      <c r="FZ40" s="3" t="n"/>
      <c r="GA40" s="3" t="n"/>
      <c r="GB40" s="3" t="n"/>
      <c r="GC40" s="3" t="n"/>
      <c r="GD40" s="3" t="n"/>
      <c r="GE40" s="3" t="n"/>
      <c r="GF40" s="3" t="n"/>
      <c r="GG40" s="3" t="n"/>
      <c r="GH40" s="3" t="n"/>
      <c r="GI40" s="3" t="n"/>
      <c r="GJ40" s="3" t="n"/>
      <c r="GK40" s="3" t="n"/>
      <c r="GL40" s="3" t="n"/>
      <c r="GM40" s="3" t="n"/>
      <c r="GN40" s="3" t="n"/>
      <c r="GO40" s="3" t="n"/>
      <c r="GP40" s="3" t="n"/>
      <c r="GQ40" s="3" t="n"/>
      <c r="GR40" s="3" t="n"/>
      <c r="GS40" s="3" t="n"/>
      <c r="GT40" s="3" t="n"/>
      <c r="GU40" s="3" t="n"/>
      <c r="GV40" s="3" t="n"/>
      <c r="GW40" s="3" t="n"/>
      <c r="GX40" s="3" t="n"/>
      <c r="GY40" s="3" t="n"/>
      <c r="GZ40" s="3" t="n"/>
      <c r="HA40" s="3" t="n"/>
      <c r="HB40" s="3" t="n"/>
      <c r="HC40" s="3" t="n"/>
      <c r="HD40" s="3" t="n"/>
      <c r="HE40" s="3" t="n"/>
      <c r="HF40" s="3" t="n"/>
      <c r="HG40" s="3" t="n"/>
      <c r="HH40" s="3" t="n"/>
      <c r="HI40" s="3" t="n"/>
      <c r="HJ40" s="3" t="n"/>
      <c r="HK40" s="3" t="n"/>
      <c r="HL40" s="3" t="n"/>
      <c r="HM40" s="3" t="n"/>
      <c r="HN40" s="3" t="n"/>
      <c r="HO40" s="3" t="n"/>
      <c r="HP40" s="3" t="n"/>
      <c r="HQ40" s="3" t="n"/>
      <c r="HR40" s="3" t="n"/>
      <c r="HS40" s="3" t="n"/>
      <c r="HT40" s="3" t="n"/>
      <c r="HU40" s="3" t="n"/>
      <c r="HV40" s="3" t="n"/>
      <c r="HW40" s="3" t="n"/>
      <c r="HX40" s="3" t="n"/>
      <c r="HY40" s="3" t="n"/>
      <c r="HZ40" s="3" t="n"/>
      <c r="IA40" s="3" t="n"/>
      <c r="IB40" s="3" t="n"/>
      <c r="IC40" s="3" t="n"/>
      <c r="ID40" s="3" t="n"/>
      <c r="IE40" s="3" t="n"/>
      <c r="IF40" s="3" t="n"/>
      <c r="IG40" s="3" t="n"/>
      <c r="IH40" s="3" t="n"/>
      <c r="II40" s="3" t="n"/>
      <c r="IJ40" s="3" t="n"/>
      <c r="IK40" s="3" t="n"/>
      <c r="IL40" s="3" t="n"/>
      <c r="IM40" s="3" t="n"/>
      <c r="IN40" s="3" t="n"/>
      <c r="IO40" s="3" t="n"/>
      <c r="IP40" s="3" t="n"/>
      <c r="IQ40" s="3" t="n"/>
      <c r="IR40" s="3" t="n"/>
      <c r="IS40" s="3" t="n"/>
      <c r="IT40" s="3" t="n"/>
      <c r="IU40" s="3" t="n"/>
      <c r="IV40" s="3" t="n"/>
    </row>
    <row r="41" ht="15" customHeight="1">
      <c r="A41" s="18" t="n"/>
      <c r="B41" s="18" t="n"/>
      <c r="C41" s="18" t="n"/>
      <c r="D41" s="18" t="n"/>
      <c r="E41" s="18" t="n"/>
      <c r="F41" s="18" t="n"/>
      <c r="G41" s="183" t="n"/>
      <c r="H41" s="181" t="n"/>
      <c r="I41" s="184" t="n"/>
    </row>
    <row r="42" ht="15" customHeight="1">
      <c r="A42" s="18" t="n"/>
      <c r="B42" s="18" t="n"/>
      <c r="C42" s="18" t="n"/>
      <c r="D42" s="18" t="n"/>
      <c r="E42" s="18" t="n"/>
      <c r="F42" s="18" t="n"/>
      <c r="G42" s="183" t="n"/>
      <c r="H42" s="181" t="n"/>
      <c r="I42" s="184" t="n"/>
    </row>
    <row r="43" ht="15" customHeight="1">
      <c r="A43" s="18" t="n"/>
      <c r="B43" s="18" t="n"/>
      <c r="C43" s="18" t="n"/>
      <c r="D43" s="18" t="n"/>
      <c r="E43" s="18" t="n"/>
      <c r="F43" s="18" t="n"/>
      <c r="G43" s="183" t="n"/>
      <c r="H43" s="181" t="n"/>
      <c r="I43" s="184" t="n"/>
    </row>
    <row r="44" ht="15" customHeight="1">
      <c r="A44" s="18" t="n"/>
      <c r="B44" s="18" t="n"/>
      <c r="C44" s="18" t="n"/>
      <c r="D44" s="18" t="n"/>
      <c r="E44" s="18" t="n"/>
      <c r="F44" s="18" t="n"/>
      <c r="G44" s="183" t="n"/>
      <c r="H44" s="181" t="n"/>
      <c r="I44" s="184" t="n"/>
    </row>
    <row r="45" ht="15" customHeight="1">
      <c r="A45" s="18" t="n"/>
      <c r="B45" s="18" t="n"/>
      <c r="C45" s="18" t="n"/>
      <c r="D45" s="18" t="n"/>
      <c r="E45" s="18" t="n"/>
      <c r="F45" s="18" t="n"/>
      <c r="G45" s="183" t="n"/>
      <c r="H45" s="181" t="n"/>
      <c r="I45" s="184" t="n"/>
    </row>
    <row r="46" ht="15" customHeight="1">
      <c r="A46" s="18" t="n"/>
      <c r="B46" s="18" t="n"/>
      <c r="C46" s="18" t="n"/>
      <c r="D46" s="18" t="n"/>
      <c r="E46" s="18" t="n"/>
      <c r="F46" s="18" t="n"/>
      <c r="G46" s="183" t="n"/>
      <c r="H46" s="181" t="n"/>
      <c r="I46" s="184" t="n"/>
    </row>
    <row r="47" ht="15" customHeight="1">
      <c r="A47" s="18" t="n"/>
      <c r="B47" s="18" t="n"/>
      <c r="C47" s="18" t="n"/>
      <c r="D47" s="18" t="n"/>
      <c r="E47" s="18" t="n"/>
      <c r="F47" s="18" t="n"/>
      <c r="G47" s="183" t="n"/>
      <c r="H47" s="181" t="n"/>
      <c r="I47" s="184" t="n"/>
    </row>
    <row r="48" ht="15" customHeight="1">
      <c r="A48" s="18" t="n"/>
      <c r="B48" s="18" t="n"/>
      <c r="C48" s="18" t="n"/>
      <c r="D48" s="18" t="n"/>
      <c r="E48" s="18" t="n"/>
      <c r="F48" s="18" t="n"/>
      <c r="G48" s="183" t="n"/>
      <c r="H48" s="181" t="n"/>
      <c r="I48" s="184" t="n"/>
    </row>
  </sheetData>
  <mergeCells count="14">
    <mergeCell ref="G47:I47"/>
    <mergeCell ref="G42:I42"/>
    <mergeCell ref="G44:I44"/>
    <mergeCell ref="G41:I41"/>
    <mergeCell ref="A10:I10"/>
    <mergeCell ref="A11:I11"/>
    <mergeCell ref="G45:I45"/>
    <mergeCell ref="G46:I46"/>
    <mergeCell ref="G39:I39"/>
    <mergeCell ref="G40:I40"/>
    <mergeCell ref="A9:I9"/>
    <mergeCell ref="G48:I48"/>
    <mergeCell ref="G43:I43"/>
    <mergeCell ref="A37:G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5" sqref="A15:E15"/>
    </sheetView>
  </sheetViews>
  <sheetFormatPr baseColWidth="8" defaultRowHeight="12.75"/>
  <cols>
    <col width="5.5703125" customWidth="1" style="36" min="1" max="1"/>
    <col width="28.140625" customWidth="1" style="36" min="2" max="2"/>
    <col width="40" customWidth="1" style="36" min="3" max="3"/>
    <col width="12.7109375" customWidth="1" style="36" min="4" max="4"/>
    <col width="79.85546875" customWidth="1" style="36" min="5" max="5"/>
    <col width="9.140625" customWidth="1" style="36" min="6" max="16384"/>
  </cols>
  <sheetData>
    <row r="1" ht="26.25" customHeight="1">
      <c r="A1" s="131" t="inlineStr">
        <is>
          <t>GIỚI THIỆU</t>
        </is>
      </c>
      <c r="B1" s="185" t="n"/>
      <c r="C1" s="185" t="n"/>
      <c r="D1" s="185" t="n"/>
      <c r="E1" s="186" t="n"/>
    </row>
    <row r="2">
      <c r="A2" s="47" t="n"/>
      <c r="B2" s="47" t="n"/>
      <c r="C2" s="47" t="n"/>
      <c r="D2" s="47" t="n"/>
      <c r="E2" s="47" t="n"/>
    </row>
    <row r="3">
      <c r="A3" s="132" t="inlineStr">
        <is>
          <t>1 - Giới thiệu</t>
        </is>
      </c>
      <c r="B3" s="181" t="n"/>
      <c r="C3" s="181" t="n"/>
      <c r="D3" s="181" t="n"/>
      <c r="E3" s="182" t="n"/>
    </row>
    <row r="4" ht="39" customHeight="1">
      <c r="A4" s="133" t="inlineStr">
        <is>
          <t>KBKTCN CHHS hộ</t>
        </is>
      </c>
      <c r="B4" s="181" t="n"/>
      <c r="C4" s="181" t="n"/>
      <c r="D4" s="181" t="n"/>
      <c r="E4" s="182" t="n"/>
    </row>
    <row r="5">
      <c r="A5" s="134" t="n"/>
      <c r="B5" s="181" t="n"/>
      <c r="C5" s="181" t="n"/>
      <c r="D5" s="181" t="n"/>
      <c r="E5" s="182" t="n"/>
    </row>
    <row r="6" ht="33" customHeight="1">
      <c r="A6" s="136" t="inlineStr">
        <is>
          <t>2 - Tài liệu tham khảo</t>
        </is>
      </c>
      <c r="B6" s="181" t="n"/>
      <c r="C6" s="181" t="n"/>
      <c r="D6" s="181" t="n"/>
      <c r="E6" s="182" t="n"/>
    </row>
    <row r="7">
      <c r="A7" s="137" t="inlineStr">
        <is>
          <t>STT</t>
        </is>
      </c>
      <c r="B7" s="137" t="inlineStr">
        <is>
          <t>Tên tài liệu</t>
        </is>
      </c>
      <c r="C7" s="137" t="inlineStr">
        <is>
          <t>Tên file</t>
        </is>
      </c>
      <c r="D7" s="137" t="inlineStr">
        <is>
          <t>Phiên bản</t>
        </is>
      </c>
      <c r="E7" s="137" t="inlineStr">
        <is>
          <t>Đường dẫn</t>
        </is>
      </c>
    </row>
    <row r="8" ht="15" customFormat="1" customHeight="1" s="38">
      <c r="A8" s="7" t="n"/>
      <c r="B8" s="134" t="inlineStr">
        <is>
          <t>Story</t>
        </is>
      </c>
      <c r="C8" s="6" t="n"/>
      <c r="D8" s="5" t="inlineStr">
        <is>
          <t>v1.0</t>
        </is>
      </c>
      <c r="E8" s="6" t="n"/>
    </row>
    <row r="9" ht="15" customFormat="1" customHeight="1" s="38">
      <c r="A9" s="7" t="n"/>
      <c r="B9" s="134" t="inlineStr">
        <is>
          <t>BRD</t>
        </is>
      </c>
      <c r="C9" s="134" t="n"/>
      <c r="D9" s="5" t="inlineStr">
        <is>
          <t>v1.0</t>
        </is>
      </c>
      <c r="E9" s="6" t="n"/>
    </row>
    <row r="10" ht="15" customFormat="1" customHeight="1" s="38">
      <c r="A10" s="7" t="n"/>
      <c r="B10" s="114" t="inlineStr">
        <is>
          <t>KBNV</t>
        </is>
      </c>
      <c r="C10" s="40" t="n"/>
      <c r="D10" s="5" t="inlineStr">
        <is>
          <t>v1.0</t>
        </is>
      </c>
      <c r="E10" s="45" t="n"/>
    </row>
    <row r="11" ht="15" customFormat="1" customHeight="1" s="38">
      <c r="A11" s="7" t="n"/>
      <c r="B11" s="187" t="inlineStr">
        <is>
          <t>TLGP</t>
        </is>
      </c>
      <c r="C11" s="90" t="n"/>
      <c r="D11" s="5" t="inlineStr">
        <is>
          <t>v1.0</t>
        </is>
      </c>
      <c r="E11" s="45" t="n"/>
    </row>
    <row r="12" ht="15" customFormat="1" customHeight="1" s="38">
      <c r="A12" s="7" t="n"/>
      <c r="B12" s="188" t="n"/>
      <c r="C12" s="90" t="n"/>
      <c r="D12" s="5" t="inlineStr">
        <is>
          <t>v1.0</t>
        </is>
      </c>
      <c r="E12" s="115" t="n"/>
    </row>
    <row r="13" ht="15" customFormat="1" customHeight="1" s="38">
      <c r="A13" s="7" t="n"/>
      <c r="B13" s="189" t="n"/>
      <c r="C13" s="91" t="n"/>
      <c r="D13" s="5" t="inlineStr">
        <is>
          <t>v1.0</t>
        </is>
      </c>
      <c r="E13" s="45" t="n"/>
    </row>
    <row r="14" ht="15" customFormat="1" customHeight="1" s="38">
      <c r="A14" s="7" t="n"/>
      <c r="B14" s="89" t="inlineStr">
        <is>
          <t>Figma</t>
        </is>
      </c>
      <c r="C14" s="114" t="n"/>
      <c r="D14" s="5" t="inlineStr">
        <is>
          <t>v1.0</t>
        </is>
      </c>
      <c r="E14" s="46" t="n"/>
    </row>
    <row r="15" ht="27" customHeight="1">
      <c r="A15" s="136" t="inlineStr">
        <is>
          <t>3 - Môi trường kiểm thử</t>
        </is>
      </c>
      <c r="B15" s="181" t="n"/>
      <c r="C15" s="181" t="n"/>
      <c r="D15" s="181" t="n"/>
      <c r="E15" s="182" t="n"/>
    </row>
    <row r="16">
      <c r="A16" s="5" t="inlineStr">
        <is>
          <t>STT</t>
        </is>
      </c>
      <c r="B16" s="137" t="inlineStr">
        <is>
          <t>Môi trường kiểm thử</t>
        </is>
      </c>
      <c r="C16" s="137" t="inlineStr">
        <is>
          <t>Thiết bị/trình duyệt</t>
        </is>
      </c>
      <c r="D16" s="137" t="inlineStr">
        <is>
          <t>Version</t>
        </is>
      </c>
      <c r="E16" s="137" t="inlineStr">
        <is>
          <t>Viết tắt</t>
        </is>
      </c>
    </row>
    <row r="17" ht="25.5" customFormat="1" customHeight="1" s="38">
      <c r="A17" s="7" t="n"/>
      <c r="B17" s="133" t="inlineStr">
        <is>
          <t>App VTM ver6.8…../Api…/Tiến trình/Web2.0….</t>
        </is>
      </c>
      <c r="C17" s="42" t="inlineStr">
        <is>
          <t>Điền thiết bị, tool postman, link trình duyệt sử dụng để test</t>
        </is>
      </c>
      <c r="D17" s="43" t="inlineStr">
        <is>
          <t xml:space="preserve"> điền ver của hệ điều hành</t>
        </is>
      </c>
      <c r="E17" s="7" t="n"/>
    </row>
    <row r="18" ht="23.25" customFormat="1" customHeight="1" s="38">
      <c r="A18" s="7" t="n"/>
      <c r="B18" s="190" t="n"/>
      <c r="C18" s="43" t="n"/>
      <c r="D18" s="43" t="n"/>
      <c r="E18" s="7" t="n"/>
    </row>
    <row r="19">
      <c r="A19" s="5" t="n"/>
      <c r="B19" s="132" t="inlineStr">
        <is>
          <t>Cấu hình server test</t>
        </is>
      </c>
      <c r="C19" s="181" t="n"/>
      <c r="D19" s="181" t="n"/>
      <c r="E19" s="182" t="n"/>
    </row>
    <row r="20">
      <c r="A20" s="5" t="n"/>
      <c r="B20" s="134" t="inlineStr">
        <is>
          <t>CPU: 4G, Duecore, Ram 8G, HDD: 320G</t>
        </is>
      </c>
      <c r="C20" s="181" t="n"/>
      <c r="D20" s="181" t="n"/>
      <c r="E20" s="182" t="n"/>
    </row>
    <row r="21">
      <c r="A21" s="5" t="n"/>
      <c r="B21" s="132" t="inlineStr">
        <is>
          <t>Tool test</t>
        </is>
      </c>
      <c r="C21" s="137" t="inlineStr">
        <is>
          <t>Phiên bản</t>
        </is>
      </c>
      <c r="D21" s="182" t="n"/>
      <c r="E21" s="137" t="inlineStr">
        <is>
          <t>Mục đích</t>
        </is>
      </c>
    </row>
    <row r="22">
      <c r="A22" s="5" t="n"/>
      <c r="B22" s="39" t="inlineStr">
        <is>
          <t>SSH secure sheel</t>
        </is>
      </c>
      <c r="C22" s="135" t="n"/>
      <c r="D22" s="182" t="n"/>
      <c r="E22" s="40" t="inlineStr">
        <is>
          <t>Check log hệ thống</t>
        </is>
      </c>
    </row>
    <row r="23">
      <c r="A23" s="5" t="n"/>
      <c r="B23" s="39" t="inlineStr">
        <is>
          <t>Datagrib</t>
        </is>
      </c>
      <c r="C23" s="135" t="n"/>
      <c r="D23" s="135" t="n"/>
      <c r="E23" s="40" t="inlineStr">
        <is>
          <t>Truy vấn CSDL</t>
        </is>
      </c>
    </row>
    <row r="24">
      <c r="A24" s="5" t="n"/>
      <c r="B24" s="39" t="inlineStr">
        <is>
          <t>Jira</t>
        </is>
      </c>
      <c r="C24" s="135" t="n"/>
      <c r="D24" s="135" t="n"/>
      <c r="E24" s="40" t="inlineStr">
        <is>
          <t>Quản lý task, log bug, log work</t>
        </is>
      </c>
    </row>
    <row r="25">
      <c r="A25" s="5" t="n"/>
      <c r="B25" s="39" t="inlineStr">
        <is>
          <t>WIN SCP</t>
        </is>
      </c>
      <c r="C25" s="135" t="n"/>
      <c r="D25" s="182" t="n"/>
      <c r="E25" s="40" t="inlineStr">
        <is>
          <t>Test tiến trình</t>
        </is>
      </c>
    </row>
  </sheetData>
  <mergeCells count="13">
    <mergeCell ref="A4:E4"/>
    <mergeCell ref="C21:D21"/>
    <mergeCell ref="A15:E15"/>
    <mergeCell ref="C25:D25"/>
    <mergeCell ref="B17:B18"/>
    <mergeCell ref="A1:E1"/>
    <mergeCell ref="B11:B13"/>
    <mergeCell ref="A5:E5"/>
    <mergeCell ref="B19:E19"/>
    <mergeCell ref="B20:E20"/>
    <mergeCell ref="C22:D22"/>
    <mergeCell ref="A6:E6"/>
    <mergeCell ref="A3:E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selection activeCell="G6" sqref="G6"/>
    </sheetView>
  </sheetViews>
  <sheetFormatPr baseColWidth="8" defaultColWidth="11.42578125" defaultRowHeight="12.75"/>
  <cols>
    <col width="11.42578125" customWidth="1" style="48" min="1" max="1"/>
    <col width="47.42578125" customWidth="1" style="48" min="2" max="2"/>
    <col width="10.28515625" customWidth="1" style="58" min="3" max="10"/>
    <col width="10.28515625" customWidth="1" style="48" min="11" max="18"/>
    <col width="11.42578125" customWidth="1" style="48" min="19" max="16384"/>
  </cols>
  <sheetData>
    <row r="1" ht="25.5" customHeight="1">
      <c r="A1" s="142" t="inlineStr">
        <is>
          <t>TỔNG HỢP KẾT QUẢ KIỂM THỬ</t>
        </is>
      </c>
    </row>
    <row r="3">
      <c r="A3" s="191" t="inlineStr">
        <is>
          <t>STT</t>
        </is>
      </c>
      <c r="B3" s="191" t="inlineStr">
        <is>
          <t>Tên màn hình/chức năng</t>
        </is>
      </c>
      <c r="C3" s="192" t="inlineStr">
        <is>
          <t>Manual test</t>
        </is>
      </c>
      <c r="D3" s="181" t="n"/>
      <c r="E3" s="181" t="n"/>
      <c r="F3" s="181" t="n"/>
      <c r="G3" s="181" t="n"/>
      <c r="H3" s="181" t="n"/>
      <c r="I3" s="181" t="n"/>
      <c r="J3" s="184" t="n"/>
      <c r="K3" s="193" t="inlineStr">
        <is>
          <t>Automation test</t>
        </is>
      </c>
      <c r="L3" s="181" t="n"/>
      <c r="M3" s="181" t="n"/>
      <c r="N3" s="181" t="n"/>
      <c r="O3" s="181" t="n"/>
      <c r="P3" s="181" t="n"/>
      <c r="Q3" s="181" t="n"/>
      <c r="R3" s="184" t="n"/>
    </row>
    <row r="4" ht="63.75" customHeight="1">
      <c r="A4" s="189" t="n"/>
      <c r="B4" s="189" t="n"/>
      <c r="C4" s="59" t="inlineStr">
        <is>
          <t>Số trường hợp kiểm thử đạt (P)</t>
        </is>
      </c>
      <c r="D4" s="59" t="inlineStr">
        <is>
          <t>Số trường hợp kiểm thử không đạt (F)</t>
        </is>
      </c>
      <c r="E4" s="59" t="inlineStr">
        <is>
          <t>Số trường hợp kiểm thử đang xem xét (PE)</t>
        </is>
      </c>
      <c r="F4" s="59" t="inlineStr">
        <is>
          <t>Số trường hợp kiểm thử chưa thực hiện</t>
        </is>
      </c>
      <c r="G4" s="59" t="inlineStr">
        <is>
          <t>Tổng số trường hợp kiểm thử</t>
        </is>
      </c>
      <c r="H4" s="59" t="inlineStr">
        <is>
          <t>Tỉ lệ trường hợp kiểm thử đạt (%P)</t>
        </is>
      </c>
      <c r="I4" s="59" t="inlineStr">
        <is>
          <t>Tỉ lệ trường hợp kiểm thử không đạt (%F)</t>
        </is>
      </c>
      <c r="J4" s="59" t="inlineStr">
        <is>
          <t>Tỉ lệ trường hợp kiểm thử đã thực hiện (%Cover)</t>
        </is>
      </c>
      <c r="K4" s="49" t="inlineStr">
        <is>
          <t>Số trường hợp kiểm thử đạt (P)</t>
        </is>
      </c>
      <c r="L4" s="49" t="inlineStr">
        <is>
          <t>Số trường hợp kiểm thử không đạt (F)</t>
        </is>
      </c>
      <c r="M4" s="49" t="inlineStr">
        <is>
          <t>Số trường hợp kiểm thử đang xem xét (PE)</t>
        </is>
      </c>
      <c r="N4" s="49" t="inlineStr">
        <is>
          <t>Số trường hợp kiểm thử chưa thực hiện</t>
        </is>
      </c>
      <c r="O4" s="49" t="inlineStr">
        <is>
          <t>Tổng số trường hợp kiểm thử</t>
        </is>
      </c>
      <c r="P4" s="49" t="inlineStr">
        <is>
          <t>Tỉ lệ trường hợp kiểm thử đạt (%P)</t>
        </is>
      </c>
      <c r="Q4" s="49" t="inlineStr">
        <is>
          <t>Tỉ lệ trường hợp kiểm thử không đạt (%F)</t>
        </is>
      </c>
      <c r="R4" s="49" t="inlineStr">
        <is>
          <t>Tỉ lệ trường hợp kiểm thử đã thực hiện (%Cover)</t>
        </is>
      </c>
    </row>
    <row r="5">
      <c r="A5" s="50" t="n">
        <v>1</v>
      </c>
      <c r="B5" s="51">
        <f>template!C3</f>
        <v/>
      </c>
      <c r="C5" s="60">
        <f>template!C7</f>
        <v/>
      </c>
      <c r="D5" s="60">
        <f>template!C8</f>
        <v/>
      </c>
      <c r="E5" s="60">
        <f>template!C9</f>
        <v/>
      </c>
      <c r="F5" s="60">
        <f>template!C10</f>
        <v/>
      </c>
      <c r="G5" s="60">
        <f>template!C11</f>
        <v/>
      </c>
      <c r="H5" s="53">
        <f>C5/G5</f>
        <v/>
      </c>
      <c r="I5" s="53">
        <f>D5/G5</f>
        <v/>
      </c>
      <c r="J5" s="53">
        <f>(C5+D5)/G5</f>
        <v/>
      </c>
      <c r="K5" s="52" t="n"/>
      <c r="L5" s="52" t="n"/>
      <c r="M5" s="52" t="n"/>
      <c r="N5" s="52" t="n"/>
      <c r="O5" s="52" t="n"/>
      <c r="P5" s="54" t="n"/>
      <c r="Q5" s="54" t="n"/>
      <c r="R5" s="54" t="n"/>
    </row>
    <row r="6" ht="15.75" customHeight="1">
      <c r="A6" s="141" t="inlineStr">
        <is>
          <t xml:space="preserve">Total </t>
        </is>
      </c>
      <c r="B6" s="182" t="n"/>
      <c r="C6" s="61">
        <f>SUM(C5:C5)</f>
        <v/>
      </c>
      <c r="D6" s="61">
        <f>SUM(D5:D5)</f>
        <v/>
      </c>
      <c r="E6" s="61">
        <f>SUM(E5:E5)</f>
        <v/>
      </c>
      <c r="F6" s="61">
        <f>SUM(F5:F5)</f>
        <v/>
      </c>
      <c r="G6" s="61">
        <f>SUM(G5:G5)</f>
        <v/>
      </c>
      <c r="H6" s="56">
        <f>C6/G6</f>
        <v/>
      </c>
      <c r="I6" s="56">
        <f>D6/G6</f>
        <v/>
      </c>
      <c r="J6" s="56">
        <f>(C6+D6+E6)/G6</f>
        <v/>
      </c>
      <c r="K6" s="55" t="n"/>
      <c r="L6" s="55" t="n"/>
      <c r="M6" s="55" t="n"/>
      <c r="N6" s="55" t="n"/>
      <c r="O6" s="55" t="n"/>
      <c r="P6" s="57" t="n"/>
      <c r="Q6" s="57" t="n"/>
      <c r="R6" s="57" t="n"/>
    </row>
  </sheetData>
  <mergeCells count="6">
    <mergeCell ref="C3:J3"/>
    <mergeCell ref="K3:R3"/>
    <mergeCell ref="B3:B4"/>
    <mergeCell ref="A3:A4"/>
    <mergeCell ref="A1:R1"/>
    <mergeCell ref="A6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1"/>
  <sheetViews>
    <sheetView topLeftCell="A10" zoomScaleNormal="100" workbookViewId="0">
      <selection activeCell="E16" sqref="E16"/>
    </sheetView>
  </sheetViews>
  <sheetFormatPr baseColWidth="8" defaultRowHeight="15.75"/>
  <cols>
    <col width="20.140625" customWidth="1" style="76" min="1" max="1"/>
    <col width="41.7109375" customWidth="1" style="76" min="2" max="2"/>
    <col width="37.42578125" customWidth="1" style="76" min="3" max="3"/>
    <col width="25.7109375" customWidth="1" style="76" min="4" max="4"/>
    <col width="44.85546875" customWidth="1" style="76" min="5" max="5"/>
    <col width="88.7109375" customWidth="1" style="76" min="6" max="6"/>
    <col width="9.140625" customWidth="1" style="76" min="7" max="9"/>
    <col hidden="1" width="13" customWidth="1" style="76" min="10" max="12"/>
    <col width="9.140625" customWidth="1" style="76" min="13" max="13"/>
    <col width="14.5703125" customWidth="1" style="76" min="14" max="14"/>
    <col width="74.5703125" bestFit="1" customWidth="1" style="76" min="15" max="15"/>
    <col width="47" customWidth="1" style="76" min="16" max="20"/>
    <col width="9.140625" customWidth="1" style="76" min="21" max="16384"/>
  </cols>
  <sheetData>
    <row r="1" customFormat="1" s="62">
      <c r="B1" s="169" t="inlineStr">
        <is>
          <t>KỊCH BẢN KIỂM THỬ  CHỨC NĂNG</t>
        </is>
      </c>
      <c r="G1" s="63" t="n"/>
      <c r="H1" s="63" t="n"/>
      <c r="I1" s="63" t="n"/>
      <c r="J1" s="63" t="n"/>
      <c r="K1" s="63" t="n"/>
      <c r="L1" s="63" t="n"/>
      <c r="M1" s="63" t="n"/>
    </row>
    <row r="2" customFormat="1" s="62">
      <c r="B2" s="169" t="n"/>
      <c r="C2" s="169" t="n"/>
      <c r="D2" s="169" t="n"/>
      <c r="E2" s="169" t="n"/>
      <c r="F2" s="169" t="n"/>
      <c r="G2" s="63" t="n"/>
      <c r="H2" s="63" t="n"/>
      <c r="I2" s="63" t="n"/>
      <c r="J2" s="63" t="n"/>
      <c r="K2" s="63" t="n"/>
      <c r="L2" s="63" t="n"/>
      <c r="M2" s="63" t="n"/>
    </row>
    <row r="3" customFormat="1" s="62">
      <c r="B3" s="65" t="inlineStr">
        <is>
          <t>Tên màn hình/Tên chức năng</t>
        </is>
      </c>
      <c r="C3" s="66" t="inlineStr">
        <is>
          <t>Cấp lại mật khẩu</t>
        </is>
      </c>
      <c r="D3" s="67" t="n"/>
      <c r="E3" s="169" t="n"/>
      <c r="F3" s="169" t="n"/>
      <c r="G3" s="63" t="n"/>
      <c r="H3" s="63" t="n"/>
      <c r="I3" s="63" t="n"/>
      <c r="J3" s="63" t="n"/>
      <c r="K3" s="63" t="n"/>
      <c r="L3" s="63" t="n"/>
      <c r="M3" s="63" t="n"/>
    </row>
    <row r="4" customFormat="1" s="62">
      <c r="B4" s="65" t="inlineStr">
        <is>
          <t>Mã trường hợp kiểm thử</t>
        </is>
      </c>
      <c r="C4" s="68" t="n"/>
      <c r="D4" s="67" t="n"/>
      <c r="E4" s="169" t="n"/>
      <c r="F4" s="169" t="n"/>
      <c r="G4" s="63" t="n"/>
      <c r="H4" s="63" t="n"/>
      <c r="I4" s="63" t="n"/>
      <c r="J4" s="63" t="n"/>
      <c r="K4" s="63" t="n"/>
      <c r="L4" s="63" t="n"/>
      <c r="M4" s="63" t="n"/>
    </row>
    <row r="5" customFormat="1" s="62">
      <c r="B5" s="67" t="n"/>
      <c r="C5" s="69" t="n"/>
      <c r="D5" s="67" t="n"/>
      <c r="E5" s="169" t="n"/>
      <c r="F5" s="169" t="n"/>
      <c r="G5" s="63" t="n"/>
      <c r="H5" s="63" t="n"/>
      <c r="I5" s="63" t="n"/>
      <c r="J5" s="63" t="n"/>
      <c r="K5" s="63" t="n"/>
      <c r="L5" s="63" t="n"/>
      <c r="M5" s="63" t="n"/>
    </row>
    <row r="6" customFormat="1" s="62">
      <c r="B6" s="67" t="inlineStr">
        <is>
          <t>Manual test</t>
        </is>
      </c>
      <c r="C6" s="69" t="n"/>
      <c r="D6" s="67" t="n"/>
      <c r="E6" s="70" t="n"/>
      <c r="F6" s="169" t="n"/>
      <c r="G6" s="63" t="n"/>
      <c r="H6" s="63" t="n"/>
      <c r="I6" s="63" t="n"/>
      <c r="J6" s="63" t="n"/>
      <c r="K6" s="63" t="n"/>
      <c r="L6" s="63" t="n"/>
      <c r="M6" s="63" t="n"/>
    </row>
    <row r="7" customFormat="1" s="62">
      <c r="B7" s="65" t="inlineStr">
        <is>
          <t>Số trường hợp kiểm thử đạt (P)</t>
        </is>
      </c>
      <c r="C7" s="77">
        <f>COUNTIF($M$18:$M$791,"P")</f>
        <v/>
      </c>
      <c r="D7" s="67" t="n"/>
      <c r="E7" s="67" t="n"/>
      <c r="F7" s="169" t="n"/>
      <c r="G7" s="63" t="n"/>
      <c r="H7" s="63" t="n"/>
      <c r="I7" s="63" t="n"/>
      <c r="J7" s="63" t="n"/>
      <c r="K7" s="63" t="n"/>
      <c r="L7" s="63" t="n"/>
      <c r="M7" s="63" t="n"/>
    </row>
    <row r="8" customFormat="1" s="62">
      <c r="B8" s="65" t="inlineStr">
        <is>
          <t>Số trường hợp kiểm thử không đạt (F)</t>
        </is>
      </c>
      <c r="C8" s="77">
        <f>COUNTIF($M$18:$M$791,"F")</f>
        <v/>
      </c>
      <c r="D8" s="67" t="n"/>
      <c r="E8" s="67" t="n"/>
      <c r="F8" s="169" t="n"/>
      <c r="G8" s="63" t="n"/>
      <c r="H8" s="63" t="n"/>
      <c r="I8" s="63" t="n"/>
      <c r="J8" s="63" t="n"/>
      <c r="K8" s="63" t="n"/>
      <c r="L8" s="63" t="n"/>
      <c r="M8" s="63" t="n"/>
    </row>
    <row r="9" ht="31.5" customFormat="1" customHeight="1" s="62">
      <c r="B9" s="65" t="inlineStr">
        <is>
          <t>Số trường hợp kiểm thử đang xem xét (PE)</t>
        </is>
      </c>
      <c r="C9" s="77">
        <f>COUNTIF($M$18:$M$791,"PE")</f>
        <v/>
      </c>
      <c r="D9" s="67" t="n"/>
      <c r="E9" s="67" t="n"/>
      <c r="F9" s="169" t="n"/>
      <c r="G9" s="63" t="n"/>
      <c r="H9" s="63" t="n"/>
      <c r="I9" s="63" t="n"/>
      <c r="J9" s="63" t="n"/>
      <c r="K9" s="63" t="n"/>
      <c r="L9" s="63" t="n"/>
      <c r="M9" s="63" t="n"/>
    </row>
    <row r="10" customFormat="1" s="62">
      <c r="B10" s="65" t="inlineStr">
        <is>
          <t>Số trường hợp kiểm thử chưa thực hiện</t>
        </is>
      </c>
      <c r="C10" s="77">
        <f>C11-C7-C8-C9</f>
        <v/>
      </c>
      <c r="D10" s="67" t="n"/>
      <c r="E10" s="67" t="n"/>
      <c r="F10" s="169" t="n"/>
      <c r="G10" s="63" t="n"/>
      <c r="H10" s="63" t="n"/>
      <c r="I10" s="63" t="n"/>
      <c r="J10" s="63" t="n"/>
      <c r="K10" s="63" t="n"/>
      <c r="L10" s="63" t="n"/>
      <c r="M10" s="63" t="n"/>
    </row>
    <row r="11" customFormat="1" s="62">
      <c r="B11" s="65" t="inlineStr">
        <is>
          <t>Tổng số trường hợp kiểm thử</t>
        </is>
      </c>
      <c r="C11" s="77">
        <f>COUNTA($F$18:$F$362)</f>
        <v/>
      </c>
      <c r="D11" s="67" t="n"/>
      <c r="E11" s="67" t="n"/>
      <c r="F11" s="169" t="n"/>
      <c r="G11" s="63" t="n"/>
      <c r="H11" s="63" t="n"/>
      <c r="I11" s="63" t="n"/>
      <c r="J11" s="63" t="n"/>
      <c r="K11" s="63" t="n"/>
      <c r="L11" s="63" t="n"/>
      <c r="M11" s="63" t="n"/>
    </row>
    <row r="12" customFormat="1" s="62">
      <c r="B12" s="69" t="n"/>
      <c r="C12" s="69" t="n"/>
      <c r="D12" s="69" t="n"/>
      <c r="E12" s="69" t="n"/>
      <c r="F12" s="69" t="n"/>
      <c r="G12" s="63" t="n"/>
      <c r="H12" s="63" t="n"/>
      <c r="I12" s="63" t="n"/>
      <c r="J12" s="63" t="n"/>
      <c r="K12" s="63" t="n"/>
      <c r="L12" s="63" t="n"/>
      <c r="M12" s="63" t="n"/>
    </row>
    <row r="13" ht="12.75" customFormat="1" customHeight="1" s="69">
      <c r="A13" s="171" t="inlineStr">
        <is>
          <t>ID</t>
        </is>
      </c>
      <c r="B13" s="170" t="inlineStr">
        <is>
          <t>Mục đích kiểm thử</t>
        </is>
      </c>
      <c r="C13" s="170" t="inlineStr">
        <is>
          <t>Trường hợp kiểm thử</t>
        </is>
      </c>
      <c r="D13" s="170" t="inlineStr">
        <is>
          <t>Data test</t>
        </is>
      </c>
      <c r="E13" s="170" t="inlineStr">
        <is>
          <t>Các bước thực hiện</t>
        </is>
      </c>
      <c r="F13" s="170" t="inlineStr">
        <is>
          <t>Kết quả mong muốn</t>
        </is>
      </c>
      <c r="G13" s="170" t="inlineStr">
        <is>
          <t>App</t>
        </is>
      </c>
      <c r="H13" s="181" t="n"/>
      <c r="I13" s="182" t="n"/>
      <c r="J13" s="170" t="inlineStr">
        <is>
          <t>Android</t>
        </is>
      </c>
      <c r="K13" s="181" t="n"/>
      <c r="L13" s="182" t="n"/>
      <c r="M13" s="170" t="inlineStr">
        <is>
          <t xml:space="preserve">Kết quả (M) </t>
        </is>
      </c>
      <c r="N13" s="170" t="inlineStr">
        <is>
          <t>Mã lỗi</t>
        </is>
      </c>
      <c r="O13" s="170" t="inlineStr">
        <is>
          <t>Ghi chú</t>
        </is>
      </c>
      <c r="P13" s="62" t="n"/>
      <c r="Q13" s="62" t="n"/>
    </row>
    <row r="14" ht="44.25" customFormat="1" customHeight="1" s="69">
      <c r="A14" s="194" t="n"/>
      <c r="B14" s="190" t="n"/>
      <c r="C14" s="190" t="n"/>
      <c r="D14" s="190" t="n"/>
      <c r="E14" s="190" t="n"/>
      <c r="F14" s="190" t="n"/>
      <c r="G14" s="170" t="inlineStr">
        <is>
          <t>IOS</t>
        </is>
      </c>
      <c r="H14" s="170" t="inlineStr">
        <is>
          <t>Android</t>
        </is>
      </c>
      <c r="I14" s="170" t="inlineStr">
        <is>
          <t>Lần 3</t>
        </is>
      </c>
      <c r="J14" s="170" t="inlineStr">
        <is>
          <t>Lần 1</t>
        </is>
      </c>
      <c r="K14" s="170" t="inlineStr">
        <is>
          <t>Lần 2</t>
        </is>
      </c>
      <c r="L14" s="170" t="inlineStr">
        <is>
          <t>Lần 3</t>
        </is>
      </c>
      <c r="M14" s="190" t="n"/>
      <c r="N14" s="190" t="n"/>
      <c r="O14" s="190" t="n"/>
      <c r="P14" s="62" t="n"/>
      <c r="Q14" s="62" t="n"/>
    </row>
    <row r="15" customFormat="1" s="79">
      <c r="A15" s="78" t="n"/>
      <c r="B15" s="80" t="inlineStr">
        <is>
          <t>Suite-1:Kiểm tra accountId</t>
        </is>
      </c>
      <c r="C15" s="80" t="n"/>
      <c r="D15" s="80" t="n"/>
      <c r="E15" s="80" t="n"/>
      <c r="F15" s="80" t="n"/>
      <c r="G15" s="80" t="n"/>
      <c r="H15" s="80" t="n"/>
      <c r="I15" s="80" t="n"/>
      <c r="J15" s="80" t="n"/>
      <c r="K15" s="80" t="n"/>
      <c r="L15" s="80" t="n"/>
      <c r="M15" s="80" t="n"/>
      <c r="N15" s="80" t="n"/>
      <c r="O15" s="80" t="n"/>
    </row>
    <row r="16" ht="236.25" customFormat="1" customHeight="1" s="69">
      <c r="A16" s="172" t="n"/>
      <c r="B16" s="86" t="inlineStr">
        <is>
          <t>Kiểm tra accountId không tồn tại</t>
        </is>
      </c>
      <c r="C16" s="170" t="n"/>
      <c r="D16" s="84" t="inlineStr">
        <is>
          <t>curl --location 'http://gw-staging.digital.vn/customer/v1/accounts/recover-pin-app' \
--header 'Product: anim deserunt in ex' \
--header 'Accept-Language: vi' \
--header 'Content-Type: application/json' \
--header 'Accept: application/json' \
--data-raw '{
"accountId": "123123a@"
}'</t>
        </is>
      </c>
      <c r="E16" s="84" t="inlineStr">
        <is>
          <t>1. Select * from accounts where id = '1234'
2. Import curl ở mục data test
3. Update accountId = '1234'
4. Run curl</t>
        </is>
      </c>
      <c r="F16" s="84" t="inlineStr">
        <is>
          <t>1. Không có kết quả trả về
4. Trả mã lỗi CS9901=Tài khoản không tồn tại.</t>
        </is>
      </c>
      <c r="G16" s="170" t="n"/>
      <c r="H16" s="170" t="n"/>
      <c r="I16" s="170" t="n"/>
      <c r="J16" s="170" t="n"/>
      <c r="K16" s="170" t="n"/>
      <c r="L16" s="170" t="n"/>
      <c r="M16" s="170" t="n"/>
      <c r="N16" s="170" t="n"/>
      <c r="O16" s="170" t="n"/>
      <c r="P16" s="62" t="n"/>
      <c r="Q16" s="62" t="n"/>
    </row>
    <row r="17" ht="94.5" customFormat="1" customHeight="1" s="69">
      <c r="A17" s="172" t="n"/>
      <c r="B17" s="86" t="inlineStr">
        <is>
          <t>Kiểm tra accountId tồn tại</t>
        </is>
      </c>
      <c r="C17" s="170" t="n"/>
      <c r="D17" s="170" t="n"/>
      <c r="E17" s="84" t="inlineStr">
        <is>
          <t>1. Select * from accounts where id = '01HSTE6K73DCTP6YKP3WZX6QKG'
2. Import curl ở mục data test
3. Update accountId = '01HSTE6K73DCTP6YKP3WZX6QKG'
4. Run curl</t>
        </is>
      </c>
      <c r="F17" s="84" t="inlineStr">
        <is>
          <t>1. Có kết quả bản ghi trả về
4. Thực hiện tiếp check các case bên dưới</t>
        </is>
      </c>
      <c r="G17" s="170" t="n"/>
      <c r="H17" s="170" t="n"/>
      <c r="I17" s="170" t="n"/>
      <c r="J17" s="170" t="n"/>
      <c r="K17" s="170" t="n"/>
      <c r="L17" s="170" t="n"/>
      <c r="M17" s="170" t="n"/>
      <c r="N17" s="170" t="n"/>
      <c r="O17" s="170" t="n"/>
      <c r="P17" s="62" t="n"/>
      <c r="Q17" s="62" t="n"/>
    </row>
    <row r="18" customFormat="1" s="79">
      <c r="A18" s="78" t="n"/>
      <c r="B18" s="80" t="inlineStr">
        <is>
          <t>Suite-1: Kiểm tra có đi luồng OTP</t>
        </is>
      </c>
      <c r="C18" s="80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</row>
    <row r="19" ht="189" customFormat="1" customHeight="1" s="62">
      <c r="A19" s="81" t="n"/>
      <c r="B19" s="195" t="inlineStr">
        <is>
          <t>Kiểm tra tài khoản của KH có đi luồng OTP</t>
        </is>
      </c>
      <c r="C19" s="196" t="inlineStr">
        <is>
          <t>Kiểm tra tài khoản vỏ pin, có liên kết thẻ</t>
        </is>
      </c>
      <c r="D19" s="196" t="inlineStr">
        <is>
          <t>1. DB cho vào luồng OTP:
SELECT * FROM cdcn_customer_service.global_config WHERE param_name='recover-pin.app.otp-msisdn-list'</t>
        </is>
      </c>
      <c r="E19" s="68" t="inlineStr">
        <is>
          <t>1. Add SĐT vào luồng OTP
2. Vào app VTM
3. Nhập SĐT
4. Bấm Quên mật khẩu
5. Checklog Kibana: staging-cdcn-customer-service</t>
        </is>
      </c>
      <c r="F19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19" s="72" t="n"/>
      <c r="H19" s="72" t="n"/>
      <c r="I19" s="72" t="n"/>
      <c r="J19" s="72" t="n"/>
      <c r="K19" s="72" t="n"/>
      <c r="L19" s="72" t="n"/>
      <c r="M19" s="73">
        <f>IF(OR(IF(I19="",IF(H19="",IF(G19="","",G19),H19),I19)="F", IF(L19="",IF(K19="",IF(J19="","",J19), K19),L19)="F")=TRUE,"F",
IF(OR(IF(I19="",IF(H19="",IF(G19="","",G19),H19),I19)="PE", IF(L19="",IF(K19="",IF(J19="","",J19), K19),L19)="PE")=TRUE,"PE",
IF(AND(IF(I19="",IF(H19="",IF(G19="","",G19),H19),I19)="", IF(L19="",IF(K19="",IF(J19="","",J19), K19),L19)="")=TRUE,"","P")))</f>
        <v/>
      </c>
      <c r="N19" s="74" t="n"/>
      <c r="O19" s="75" t="n"/>
    </row>
    <row r="20" ht="63" customFormat="1" customHeight="1" s="62">
      <c r="A20" s="81" t="n"/>
      <c r="B20" s="188" t="n"/>
      <c r="C20" s="189" t="n"/>
      <c r="D20" s="189" t="n"/>
      <c r="E20" s="68" t="inlineStr">
        <is>
          <t>6. Nhập PIN mới
7. Login lại app
8. Bấm vào avatar &gt;&gt; Quản lý nguồn tiền</t>
        </is>
      </c>
      <c r="F20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20" s="72" t="n"/>
      <c r="H20" s="72" t="n"/>
      <c r="I20" s="72" t="n"/>
      <c r="J20" s="72" t="n"/>
      <c r="K20" s="72" t="n"/>
      <c r="L20" s="72" t="n"/>
      <c r="M20" s="73">
        <f>IF(OR(IF(I20="",IF(H20="",IF(G20="","",G20),H20),I20)="F", IF(L20="",IF(K20="",IF(J20="","",J20), K20),L20)="F")=TRUE,"F",
IF(OR(IF(I20="",IF(H20="",IF(G20="","",G20),H20),I20)="PE", IF(L20="",IF(K20="",IF(J20="","",J20), K20),L20)="PE")=TRUE,"PE",
IF(AND(IF(I20="",IF(H20="",IF(G20="","",G20),H20),I20)="", IF(L20="",IF(K20="",IF(J20="","",J20), K20),L20)="")=TRUE,"","P")))</f>
        <v/>
      </c>
      <c r="N20" s="74" t="n"/>
      <c r="O20" s="75" t="n"/>
    </row>
    <row r="21" ht="189" customFormat="1" customHeight="1" s="62">
      <c r="A21" s="81" t="n"/>
      <c r="B21" s="188" t="n"/>
      <c r="C21" s="196" t="inlineStr">
        <is>
          <t>Kiểm tra tài khoản chỉ có VTP, có liên kết thẻ</t>
        </is>
      </c>
      <c r="D21" s="197" t="inlineStr">
        <is>
          <t>Liên kết thẻ:
- Napas: SaigonBank
- Trực tiếp: MB, BIDV, Vpbank
- Bán chéo
VTP gói -1, 24,26,23,20</t>
        </is>
      </c>
      <c r="E21" s="68" t="inlineStr">
        <is>
          <t>1. Add SĐT vào luồng OTP
2. Vào app VTM
3. Nhập SĐT
4. Bấm Quên mật khẩu
5. Checklog Kibana: staging-cdcn-customer-service</t>
        </is>
      </c>
      <c r="F21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21" s="72" t="n"/>
      <c r="H21" s="72" t="n"/>
      <c r="I21" s="72" t="n"/>
      <c r="J21" s="72" t="n"/>
      <c r="K21" s="72" t="n"/>
      <c r="L21" s="72" t="n"/>
      <c r="M21" s="73">
        <f>IF(OR(IF(I21="",IF(H21="",IF(G21="","",G21),H21),I21)="F", IF(L21="",IF(K21="",IF(J21="","",J21), K21),L21)="F")=TRUE,"F",
IF(OR(IF(I21="",IF(H21="",IF(G21="","",G21),H21),I21)="PE", IF(L21="",IF(K21="",IF(J21="","",J21), K21),L21)="PE")=TRUE,"PE",
IF(AND(IF(I21="",IF(H21="",IF(G21="","",G21),H21),I21)="", IF(L21="",IF(K21="",IF(J21="","",J21), K21),L21)="")=TRUE,"","P")))</f>
        <v/>
      </c>
      <c r="N21" s="74" t="n"/>
      <c r="O21" s="75" t="n"/>
    </row>
    <row r="22" ht="63" customFormat="1" customHeight="1" s="62">
      <c r="A22" s="81" t="n"/>
      <c r="B22" s="188" t="n"/>
      <c r="C22" s="189" t="n"/>
      <c r="D22" s="189" t="n"/>
      <c r="E22" s="68" t="inlineStr">
        <is>
          <t>6. Nhập PIN mới
7. Login lại app
8. Bấm vào avatar &gt;&gt; Quản lý nguồn tiền</t>
        </is>
      </c>
      <c r="F22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22" s="72" t="n"/>
      <c r="H22" s="72" t="n"/>
      <c r="I22" s="72" t="n"/>
      <c r="J22" s="72" t="n"/>
      <c r="K22" s="72" t="n"/>
      <c r="L22" s="72" t="n"/>
      <c r="M22" s="73">
        <f>IF(OR(IF(I22="",IF(H22="",IF(G22="","",G22),H22),I22)="F", IF(L22="",IF(K22="",IF(J22="","",J22), K22),L22)="F")=TRUE,"F",
IF(OR(IF(I22="",IF(H22="",IF(G22="","",G22),H22),I22)="PE", IF(L22="",IF(K22="",IF(J22="","",J22), K22),L22)="PE")=TRUE,"PE",
IF(AND(IF(I22="",IF(H22="",IF(G22="","",G22),H22),I22)="", IF(L22="",IF(K22="",IF(J22="","",J22), K22),L22)="")=TRUE,"","P")))</f>
        <v/>
      </c>
      <c r="N22" s="74" t="n"/>
      <c r="O22" s="75" t="n"/>
    </row>
    <row r="23" ht="189" customFormat="1" customHeight="1" s="62">
      <c r="A23" s="81" t="n"/>
      <c r="B23" s="188" t="n"/>
      <c r="C23" s="196" t="inlineStr">
        <is>
          <t>Kiểm tra tài khoản chỉ có MM, có liên kết thẻ</t>
        </is>
      </c>
      <c r="D23" s="197" t="n"/>
      <c r="E23" s="68" t="inlineStr">
        <is>
          <t>1. Add SĐT vào luồng OTP
2. Vào app VTM
3. Nhập SĐT
4. Bấm Quên mật khẩu
5. Checklog Kibana: staging-cdcn-customer-service</t>
        </is>
      </c>
      <c r="F23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23" s="72" t="n"/>
      <c r="H23" s="72" t="n"/>
      <c r="I23" s="72" t="n"/>
      <c r="J23" s="72" t="n"/>
      <c r="K23" s="72" t="n"/>
      <c r="L23" s="72" t="n"/>
      <c r="M23" s="73">
        <f>IF(OR(IF(I23="",IF(H23="",IF(G23="","",G23),H23),I23)="F", IF(L23="",IF(K23="",IF(J23="","",J23), K23),L23)="F")=TRUE,"F",
IF(OR(IF(I23="",IF(H23="",IF(G23="","",G23),H23),I23)="PE", IF(L23="",IF(K23="",IF(J23="","",J23), K23),L23)="PE")=TRUE,"PE",
IF(AND(IF(I23="",IF(H23="",IF(G23="","",G23),H23),I23)="", IF(L23="",IF(K23="",IF(J23="","",J23), K23),L23)="")=TRUE,"","P")))</f>
        <v/>
      </c>
      <c r="N23" s="74" t="n"/>
      <c r="O23" s="75" t="n"/>
    </row>
    <row r="24" ht="63" customFormat="1" customHeight="1" s="62">
      <c r="A24" s="81" t="n"/>
      <c r="B24" s="188" t="n"/>
      <c r="C24" s="189" t="n"/>
      <c r="D24" s="189" t="n"/>
      <c r="E24" s="68" t="inlineStr">
        <is>
          <t>6. Nhập PIN mới
7. Login lại app
8. Bấm vào avatar &gt;&gt; Quản lý nguồn tiền</t>
        </is>
      </c>
      <c r="F24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24" s="72" t="n"/>
      <c r="H24" s="72" t="n"/>
      <c r="I24" s="72" t="n"/>
      <c r="J24" s="72" t="n"/>
      <c r="K24" s="72" t="n"/>
      <c r="L24" s="72" t="n"/>
      <c r="M24" s="73">
        <f>IF(OR(IF(I24="",IF(H24="",IF(G24="","",G24),H24),I24)="F", IF(L24="",IF(K24="",IF(J24="","",J24), K24),L24)="F")=TRUE,"F",
IF(OR(IF(I24="",IF(H24="",IF(G24="","",G24),H24),I24)="PE", IF(L24="",IF(K24="",IF(J24="","",J24), K24),L24)="PE")=TRUE,"PE",
IF(AND(IF(I24="",IF(H24="",IF(G24="","",G24),H24),I24)="", IF(L24="",IF(K24="",IF(J24="","",J24), K24),L24)="")=TRUE,"","P")))</f>
        <v/>
      </c>
      <c r="N24" s="74" t="n"/>
      <c r="O24" s="75" t="n"/>
    </row>
    <row r="25" ht="189" customFormat="1" customHeight="1" s="62">
      <c r="A25" s="81" t="n"/>
      <c r="B25" s="188" t="n"/>
      <c r="C25" s="196" t="inlineStr">
        <is>
          <t>Kiểm tra tài khoản có VTT và MM, có liên kết thẻ</t>
        </is>
      </c>
      <c r="D25" s="197" t="inlineStr">
        <is>
          <t>VTT gói 20</t>
        </is>
      </c>
      <c r="E25" s="68" t="inlineStr">
        <is>
          <t>1. Add SĐT vào luồng OTP
2. Vào app VTM
3. Nhập SĐT
4. Bấm Quên mật khẩu
5. Checklog Kibana: staging-cdcn-customer-service</t>
        </is>
      </c>
      <c r="F25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25" s="72" t="n"/>
      <c r="H25" s="72" t="n"/>
      <c r="I25" s="72" t="n"/>
      <c r="J25" s="72" t="n"/>
      <c r="K25" s="72" t="n"/>
      <c r="L25" s="72" t="n"/>
      <c r="M25" s="73">
        <f>IF(OR(IF(I25="",IF(H25="",IF(G25="","",G25),H25),I25)="F", IF(L25="",IF(K25="",IF(J25="","",J25), K25),L25)="F")=TRUE,"F",
IF(OR(IF(I25="",IF(H25="",IF(G25="","",G25),H25),I25)="PE", IF(L25="",IF(K25="",IF(J25="","",J25), K25),L25)="PE")=TRUE,"PE",
IF(AND(IF(I25="",IF(H25="",IF(G25="","",G25),H25),I25)="", IF(L25="",IF(K25="",IF(J25="","",J25), K25),L25)="")=TRUE,"","P")))</f>
        <v/>
      </c>
      <c r="N25" s="74" t="n"/>
      <c r="O25" s="75" t="n"/>
    </row>
    <row r="26" ht="63" customFormat="1" customHeight="1" s="62">
      <c r="A26" s="81" t="n"/>
      <c r="B26" s="188" t="n"/>
      <c r="C26" s="189" t="n"/>
      <c r="D26" s="189" t="n"/>
      <c r="E26" s="68" t="inlineStr">
        <is>
          <t>6. Nhập PIN mới
7. Login lại app
8. Bấm vào avatar &gt;&gt; Quản lý nguồn tiền</t>
        </is>
      </c>
      <c r="F26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26" s="72" t="n"/>
      <c r="H26" s="72" t="n"/>
      <c r="I26" s="72" t="n"/>
      <c r="J26" s="72" t="n"/>
      <c r="K26" s="72" t="n"/>
      <c r="L26" s="72" t="n"/>
      <c r="M26" s="73">
        <f>IF(OR(IF(I26="",IF(H26="",IF(G26="","",G26),H26),I26)="F", IF(L26="",IF(K26="",IF(J26="","",J26), K26),L26)="F")=TRUE,"F",
IF(OR(IF(I26="",IF(H26="",IF(G26="","",G26),H26),I26)="PE", IF(L26="",IF(K26="",IF(J26="","",J26), K26),L26)="PE")=TRUE,"PE",
IF(AND(IF(I26="",IF(H26="",IF(G26="","",G26),H26),I26)="", IF(L26="",IF(K26="",IF(J26="","",J26), K26),L26)="")=TRUE,"","P")))</f>
        <v/>
      </c>
      <c r="N26" s="74" t="n"/>
      <c r="O26" s="75" t="n"/>
    </row>
    <row r="27" ht="94.5" customFormat="1" customHeight="1" s="62">
      <c r="A27" s="81" t="n"/>
      <c r="B27" s="188" t="n"/>
      <c r="C27" s="196" t="inlineStr">
        <is>
          <t>Kiểm tra tài khoản vỏ pin, không có liên kết thẻ</t>
        </is>
      </c>
      <c r="D27" s="196" t="n"/>
      <c r="E27" s="68" t="inlineStr">
        <is>
          <t>1. Add SĐT vào luồng OTP
2. Vào app VTM
3. Nhập SĐT
4. Bấm Quên mật khẩu
5. Checklog Kibana: staging-cdcn-customer-service</t>
        </is>
      </c>
      <c r="F27" s="68" t="inlineStr">
        <is>
          <t>4.1 App call API cấp lại mật khẩu: /customer/v1/accounts/recover-pin-app
4.2. App show màn đổi mật khẩu</t>
        </is>
      </c>
      <c r="G27" s="72" t="n"/>
      <c r="H27" s="72" t="n"/>
      <c r="I27" s="72" t="n"/>
      <c r="J27" s="72" t="n"/>
      <c r="K27" s="72" t="n"/>
      <c r="L27" s="72" t="n"/>
      <c r="M27" s="73">
        <f>IF(OR(IF(I27="",IF(H27="",IF(G27="","",G27),H27),I27)="F", IF(L27="",IF(K27="",IF(J27="","",J27), K27),L27)="F")=TRUE,"F",
IF(OR(IF(I27="",IF(H27="",IF(G27="","",G27),H27),I27)="PE", IF(L27="",IF(K27="",IF(J27="","",J27), K27),L27)="PE")=TRUE,"PE",
IF(AND(IF(I27="",IF(H27="",IF(G27="","",G27),H27),I27)="", IF(L27="",IF(K27="",IF(J27="","",J27), K27),L27)="")=TRUE,"","P")))</f>
        <v/>
      </c>
      <c r="N27" s="74" t="n"/>
      <c r="O27" s="75" t="n"/>
    </row>
    <row r="28" ht="63" customFormat="1" customHeight="1" s="62">
      <c r="A28" s="81" t="n"/>
      <c r="B28" s="188" t="n"/>
      <c r="C28" s="189" t="n"/>
      <c r="D28" s="189" t="n"/>
      <c r="E28" s="68" t="inlineStr">
        <is>
          <t>6. Nhập PIN mới
7. Login lại app
8. Bấm vào avatar &gt;&gt; Quản lý nguồn tiền</t>
        </is>
      </c>
      <c r="F28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28" s="72" t="n"/>
      <c r="H28" s="72" t="n"/>
      <c r="I28" s="72" t="n"/>
      <c r="J28" s="72" t="n"/>
      <c r="K28" s="72" t="n"/>
      <c r="L28" s="72" t="n"/>
      <c r="M28" s="73">
        <f>IF(OR(IF(I28="",IF(H28="",IF(G28="","",G28),H28),I28)="F", IF(L28="",IF(K28="",IF(J28="","",J28), K28),L28)="F")=TRUE,"F",
IF(OR(IF(I28="",IF(H28="",IF(G28="","",G28),H28),I28)="PE", IF(L28="",IF(K28="",IF(J28="","",J28), K28),L28)="PE")=TRUE,"PE",
IF(AND(IF(I28="",IF(H28="",IF(G28="","",G28),H28),I28)="", IF(L28="",IF(K28="",IF(J28="","",J28), K28),L28)="")=TRUE,"","P")))</f>
        <v/>
      </c>
      <c r="N28" s="74" t="n"/>
      <c r="O28" s="75" t="n"/>
    </row>
    <row r="29" ht="94.5" customFormat="1" customHeight="1" s="62">
      <c r="A29" s="81" t="n"/>
      <c r="B29" s="188" t="n"/>
      <c r="C29" s="196" t="inlineStr">
        <is>
          <t>Kiểm tra tài khoản chỉ có VTP, không có liên kết thẻ</t>
        </is>
      </c>
      <c r="D29" s="196" t="inlineStr">
        <is>
          <t>VTP gói -1, 24,26,23,20</t>
        </is>
      </c>
      <c r="E29" s="68" t="inlineStr">
        <is>
          <t>1. Add SĐT vào luồng OTP
2. Vào app VTM
3. Nhập SĐT
4. Bấm Quên mật khẩu
5. Checklog Kibana: staging-cdcn-customer-service</t>
        </is>
      </c>
      <c r="F29" s="68" t="inlineStr">
        <is>
          <t>4.1 App call API cấp lại mật khẩu: /customer/v1/accounts/recover-pin-app
4.2. App show màn đổi mật khẩu</t>
        </is>
      </c>
      <c r="G29" s="72" t="n"/>
      <c r="H29" s="72" t="n"/>
      <c r="I29" s="72" t="n"/>
      <c r="J29" s="72" t="n"/>
      <c r="K29" s="72" t="n"/>
      <c r="L29" s="72" t="n"/>
      <c r="M29" s="73">
        <f>IF(OR(IF(I29="",IF(H29="",IF(G29="","",G29),H29),I29)="F", IF(L29="",IF(K29="",IF(J29="","",J29), K29),L29)="F")=TRUE,"F",
IF(OR(IF(I29="",IF(H29="",IF(G29="","",G29),H29),I29)="PE", IF(L29="",IF(K29="",IF(J29="","",J29), K29),L29)="PE")=TRUE,"PE",
IF(AND(IF(I29="",IF(H29="",IF(G29="","",G29),H29),I29)="", IF(L29="",IF(K29="",IF(J29="","",J29), K29),L29)="")=TRUE,"","P")))</f>
        <v/>
      </c>
      <c r="N29" s="74" t="n"/>
      <c r="O29" s="75" t="n"/>
    </row>
    <row r="30" ht="63" customFormat="1" customHeight="1" s="62">
      <c r="A30" s="81" t="n"/>
      <c r="B30" s="188" t="n"/>
      <c r="C30" s="189" t="n"/>
      <c r="D30" s="189" t="n"/>
      <c r="E30" s="68" t="inlineStr">
        <is>
          <t>6. Nhập PIN mới
7. Login lại app
8. Bấm vào avatar &gt;&gt; Quản lý nguồn tiền</t>
        </is>
      </c>
      <c r="F30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30" s="72" t="n"/>
      <c r="H30" s="72" t="n"/>
      <c r="I30" s="72" t="n"/>
      <c r="J30" s="72" t="n"/>
      <c r="K30" s="72" t="n"/>
      <c r="L30" s="72" t="n"/>
      <c r="M30" s="73">
        <f>IF(OR(IF(I30="",IF(H30="",IF(G30="","",G30),H30),I30)="F", IF(L30="",IF(K30="",IF(J30="","",J30), K30),L30)="F")=TRUE,"F",
IF(OR(IF(I30="",IF(H30="",IF(G30="","",G30),H30),I30)="PE", IF(L30="",IF(K30="",IF(J30="","",J30), K30),L30)="PE")=TRUE,"PE",
IF(AND(IF(I30="",IF(H30="",IF(G30="","",G30),H30),I30)="", IF(L30="",IF(K30="",IF(J30="","",J30), K30),L30)="")=TRUE,"","P")))</f>
        <v/>
      </c>
      <c r="N30" s="74" t="n"/>
      <c r="O30" s="75" t="n"/>
    </row>
    <row r="31" ht="94.5" customFormat="1" customHeight="1" s="62">
      <c r="A31" s="81" t="n"/>
      <c r="B31" s="188" t="n"/>
      <c r="C31" s="196" t="inlineStr">
        <is>
          <t>Kiểm tra tài khoản chỉ có MM, không có liên kết thẻ</t>
        </is>
      </c>
      <c r="D31" s="196" t="n"/>
      <c r="E31" s="68" t="inlineStr">
        <is>
          <t>1. Add SĐT vào luồng OTP
2. Vào app VTM
3. Nhập SĐT
4. Bấm Quên mật khẩu
5. Checklog Kibana: staging-cdcn-customer-service</t>
        </is>
      </c>
      <c r="F31" s="68" t="inlineStr">
        <is>
          <t>4.1 App call API cấp lại mật khẩu: /customer/v1/accounts/recover-pin-app
4.2. App show màn đổi mật khẩu</t>
        </is>
      </c>
      <c r="G31" s="72" t="n"/>
      <c r="H31" s="72" t="n"/>
      <c r="I31" s="72" t="n"/>
      <c r="J31" s="72" t="n"/>
      <c r="K31" s="72" t="n"/>
      <c r="L31" s="72" t="n"/>
      <c r="M31" s="73">
        <f>IF(OR(IF(I31="",IF(H31="",IF(G31="","",G31),H31),I31)="F", IF(L31="",IF(K31="",IF(J31="","",J31), K31),L31)="F")=TRUE,"F",
IF(OR(IF(I31="",IF(H31="",IF(G31="","",G31),H31),I31)="PE", IF(L31="",IF(K31="",IF(J31="","",J31), K31),L31)="PE")=TRUE,"PE",
IF(AND(IF(I31="",IF(H31="",IF(G31="","",G31),H31),I31)="", IF(L31="",IF(K31="",IF(J31="","",J31), K31),L31)="")=TRUE,"","P")))</f>
        <v/>
      </c>
      <c r="N31" s="74" t="n"/>
      <c r="O31" s="75" t="n"/>
    </row>
    <row r="32" ht="63" customFormat="1" customHeight="1" s="62">
      <c r="A32" s="81" t="n"/>
      <c r="B32" s="188" t="n"/>
      <c r="C32" s="189" t="n"/>
      <c r="D32" s="189" t="n"/>
      <c r="E32" s="68" t="inlineStr">
        <is>
          <t>6. Nhập PIN mới
7. Login lại app
8. Bấm vào avatar &gt;&gt; Quản lý nguồn tiền</t>
        </is>
      </c>
      <c r="F32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32" s="72" t="n"/>
      <c r="H32" s="72" t="n"/>
      <c r="I32" s="72" t="n"/>
      <c r="J32" s="72" t="n"/>
      <c r="K32" s="72" t="n"/>
      <c r="L32" s="72" t="n"/>
      <c r="M32" s="73">
        <f>IF(OR(IF(I32="",IF(H32="",IF(G32="","",G32),H32),I32)="F", IF(L32="",IF(K32="",IF(J32="","",J32), K32),L32)="F")=TRUE,"F",
IF(OR(IF(I32="",IF(H32="",IF(G32="","",G32),H32),I32)="PE", IF(L32="",IF(K32="",IF(J32="","",J32), K32),L32)="PE")=TRUE,"PE",
IF(AND(IF(I32="",IF(H32="",IF(G32="","",G32),H32),I32)="", IF(L32="",IF(K32="",IF(J32="","",J32), K32),L32)="")=TRUE,"","P")))</f>
        <v/>
      </c>
      <c r="N32" s="74" t="n"/>
      <c r="O32" s="75" t="n"/>
    </row>
    <row r="33" ht="94.5" customFormat="1" customHeight="1" s="62">
      <c r="A33" s="81" t="n"/>
      <c r="B33" s="188" t="n"/>
      <c r="C33" s="196" t="inlineStr">
        <is>
          <t>Kiểm tra tài khoản có VTT và MM, không có liên kết thẻ</t>
        </is>
      </c>
      <c r="D33" s="196" t="inlineStr">
        <is>
          <t>VTP gói 20</t>
        </is>
      </c>
      <c r="E33" s="68" t="inlineStr">
        <is>
          <t>1. Add SĐT vào luồng OTP
2. Vào app VTM
3. Nhập SĐT
4. Bấm Quên mật khẩu
5. Checklog Kibana: staging-cdcn-customer-service</t>
        </is>
      </c>
      <c r="F33" s="68" t="inlineStr">
        <is>
          <t>4.1 App call API cấp lại mật khẩu: /customer/v1/accounts/recover-pin-app
4.2. App show màn đổi mật khẩu</t>
        </is>
      </c>
      <c r="G33" s="72" t="n"/>
      <c r="H33" s="72" t="n"/>
      <c r="I33" s="72" t="n"/>
      <c r="J33" s="72" t="n"/>
      <c r="K33" s="72" t="n"/>
      <c r="L33" s="72" t="n"/>
      <c r="M33" s="73">
        <f>IF(OR(IF(I33="",IF(H33="",IF(G33="","",G33),H33),I33)="F", IF(L33="",IF(K33="",IF(J33="","",J33), K33),L33)="F")=TRUE,"F",
IF(OR(IF(I33="",IF(H33="",IF(G33="","",G33),H33),I33)="PE", IF(L33="",IF(K33="",IF(J33="","",J33), K33),L33)="PE")=TRUE,"PE",
IF(AND(IF(I33="",IF(H33="",IF(G33="","",G33),H33),I33)="", IF(L33="",IF(K33="",IF(J33="","",J33), K33),L33)="")=TRUE,"","P")))</f>
        <v/>
      </c>
      <c r="N33" s="74" t="n"/>
      <c r="O33" s="75" t="n"/>
    </row>
    <row r="34" ht="63" customFormat="1" customHeight="1" s="62">
      <c r="A34" s="81" t="n"/>
      <c r="B34" s="189" t="n"/>
      <c r="C34" s="189" t="n"/>
      <c r="D34" s="189" t="n"/>
      <c r="E34" s="68" t="inlineStr">
        <is>
          <t>6. Nhập PIN mới
7. Login lại app
8. Bấm vào avatar &gt;&gt; Quản lý nguồn tiền</t>
        </is>
      </c>
      <c r="F34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34" s="72" t="n"/>
      <c r="H34" s="72" t="n"/>
      <c r="I34" s="72" t="n"/>
      <c r="J34" s="72" t="n"/>
      <c r="K34" s="72" t="n"/>
      <c r="L34" s="72" t="n"/>
      <c r="M34" s="73">
        <f>IF(OR(IF(I34="",IF(H34="",IF(G34="","",G34),H34),I34)="F", IF(L34="",IF(K34="",IF(J34="","",J34), K34),L34)="F")=TRUE,"F",
IF(OR(IF(I34="",IF(H34="",IF(G34="","",G34),H34),I34)="PE", IF(L34="",IF(K34="",IF(J34="","",J34), K34),L34)="PE")=TRUE,"PE",
IF(AND(IF(I34="",IF(H34="",IF(G34="","",G34),H34),I34)="", IF(L34="",IF(K34="",IF(J34="","",J34), K34),L34)="")=TRUE,"","P")))</f>
        <v/>
      </c>
      <c r="N34" s="74" t="n"/>
      <c r="O34" s="75" t="n"/>
    </row>
    <row r="35" ht="94.5" customFormat="1" customHeight="1" s="62">
      <c r="A35" s="81" t="n"/>
      <c r="B35" s="195" t="inlineStr">
        <is>
          <t>Kiểm tra tài khoản của KH không đi luồng OTP</t>
        </is>
      </c>
      <c r="C35" s="68" t="inlineStr">
        <is>
          <t>Kiểm tra tài khoản vỏ pin</t>
        </is>
      </c>
      <c r="D35" s="153" t="inlineStr">
        <is>
          <t>1. DB cho vào luồng OTP:
SELECT * FROM cdcn_customer_service.global_config WHERE param_name='recover-pin.app.otp-msisdn-list'</t>
        </is>
      </c>
      <c r="E35" s="68" t="inlineStr">
        <is>
          <t>1. Bỏ SĐT vào luồng OTP
2. Vào app VTM
3. Nhập SĐT
4. Bấm Quên mật khẩu
5. Checklog Kibana: staging-cdcn-customer-service</t>
        </is>
      </c>
      <c r="F35" s="68" t="inlineStr">
        <is>
          <t>4. Đi tiếp case kiểm tra trạng thái tài khoản bên dưới</t>
        </is>
      </c>
      <c r="G35" s="72" t="n"/>
      <c r="H35" s="72" t="n"/>
      <c r="I35" s="72" t="n"/>
      <c r="J35" s="72" t="n"/>
      <c r="K35" s="72" t="n"/>
      <c r="L35" s="72" t="n"/>
      <c r="M35" s="73">
        <f>IF(OR(IF(I35="",IF(H35="",IF(G35="","",G35),H35),I35)="F", IF(L35="",IF(K35="",IF(J35="","",J35), K35),L35)="F")=TRUE,"F",
IF(OR(IF(I35="",IF(H35="",IF(G35="","",G35),H35),I35)="PE", IF(L35="",IF(K35="",IF(J35="","",J35), K35),L35)="PE")=TRUE,"PE",
IF(AND(IF(I35="",IF(H35="",IF(G35="","",G35),H35),I35)="", IF(L35="",IF(K35="",IF(J35="","",J35), K35),L35)="")=TRUE,"","P")))</f>
        <v/>
      </c>
      <c r="N35" s="74" t="n"/>
      <c r="O35" s="75" t="n"/>
    </row>
    <row r="36" ht="94.5" customFormat="1" customHeight="1" s="62">
      <c r="A36" s="81" t="n"/>
      <c r="B36" s="188" t="n"/>
      <c r="C36" s="68" t="inlineStr">
        <is>
          <t>Kiểm tra tài khoản chỉ có VTP</t>
        </is>
      </c>
      <c r="D36" s="153" t="inlineStr">
        <is>
          <t>VTP gói -1, 24,26,23,20</t>
        </is>
      </c>
      <c r="E36" s="68" t="inlineStr">
        <is>
          <t>1. Bỏ SĐT vào luồng OTP
2. Vào app VTM
3. Nhập SĐT
4. Bấm Quên mật khẩu
5. Checklog Kibana: staging-cdcn-customer-service</t>
        </is>
      </c>
      <c r="F36" s="68" t="inlineStr">
        <is>
          <t>4. Đi tiếp case kiểm tra trạng thái tài khoản bên dưới</t>
        </is>
      </c>
      <c r="G36" s="72" t="n"/>
      <c r="H36" s="72" t="n"/>
      <c r="I36" s="72" t="n"/>
      <c r="J36" s="72" t="n"/>
      <c r="K36" s="72" t="n"/>
      <c r="L36" s="72" t="n"/>
      <c r="M36" s="73">
        <f>IF(OR(IF(I36="",IF(H36="",IF(G36="","",G36),H36),I36)="F", IF(L36="",IF(K36="",IF(J36="","",J36), K36),L36)="F")=TRUE,"F",
IF(OR(IF(I36="",IF(H36="",IF(G36="","",G36),H36),I36)="PE", IF(L36="",IF(K36="",IF(J36="","",J36), K36),L36)="PE")=TRUE,"PE",
IF(AND(IF(I36="",IF(H36="",IF(G36="","",G36),H36),I36)="", IF(L36="",IF(K36="",IF(J36="","",J36), K36),L36)="")=TRUE,"","P")))</f>
        <v/>
      </c>
      <c r="N36" s="74" t="n"/>
      <c r="O36" s="75" t="n"/>
    </row>
    <row r="37" ht="94.5" customFormat="1" customHeight="1" s="62">
      <c r="A37" s="81" t="n"/>
      <c r="B37" s="188" t="n"/>
      <c r="C37" s="68" t="inlineStr">
        <is>
          <t>Kiểm tra tài khoản chỉ có MM</t>
        </is>
      </c>
      <c r="D37" s="153" t="n"/>
      <c r="E37" s="68" t="inlineStr">
        <is>
          <t>1. Bỏ SĐT vào luồng OTP
2. Vào app VTM
3. Nhập SĐT
4. Bấm Quên mật khẩu
5. Checklog Kibana: staging-cdcn-customer-service</t>
        </is>
      </c>
      <c r="F37" s="68" t="inlineStr">
        <is>
          <t>4. Đi tiếp case kiểm tra trạng thái tài khoản bên dưới</t>
        </is>
      </c>
      <c r="G37" s="72" t="n"/>
      <c r="H37" s="72" t="n"/>
      <c r="I37" s="72" t="n"/>
      <c r="J37" s="72" t="n"/>
      <c r="K37" s="72" t="n"/>
      <c r="L37" s="72" t="n"/>
      <c r="M37" s="73">
        <f>IF(OR(IF(I37="",IF(H37="",IF(G37="","",G37),H37),I37)="F", IF(L37="",IF(K37="",IF(J37="","",J37), K37),L37)="F")=TRUE,"F",
IF(OR(IF(I37="",IF(H37="",IF(G37="","",G37),H37),I37)="PE", IF(L37="",IF(K37="",IF(J37="","",J37), K37),L37)="PE")=TRUE,"PE",
IF(AND(IF(I37="",IF(H37="",IF(G37="","",G37),H37),I37)="", IF(L37="",IF(K37="",IF(J37="","",J37), K37),L37)="")=TRUE,"","P")))</f>
        <v/>
      </c>
      <c r="N37" s="74" t="n"/>
      <c r="O37" s="75" t="n"/>
    </row>
    <row r="38" ht="94.5" customFormat="1" customHeight="1" s="62">
      <c r="A38" s="81" t="n"/>
      <c r="B38" s="189" t="n"/>
      <c r="C38" s="68" t="inlineStr">
        <is>
          <t>Kiểm tra tài khoản có VTT và MM</t>
        </is>
      </c>
      <c r="D38" s="153" t="inlineStr">
        <is>
          <t>VTP gói 20</t>
        </is>
      </c>
      <c r="E38" s="68" t="inlineStr">
        <is>
          <t>1. Bỏ SĐT vào luồng OTP
2. Vào app VTM
3. Nhập SĐT
4. Bấm Quên mật khẩu
5. Checklog Kibana: staging-cdcn-customer-service</t>
        </is>
      </c>
      <c r="F38" s="68" t="inlineStr">
        <is>
          <t>4. Đi tiếp case kiểm tra trạng thái tài khoản bên dưới</t>
        </is>
      </c>
      <c r="G38" s="72" t="n"/>
      <c r="H38" s="72" t="n"/>
      <c r="I38" s="72" t="n"/>
      <c r="J38" s="72" t="n"/>
      <c r="K38" s="72" t="n"/>
      <c r="L38" s="72" t="n"/>
      <c r="M38" s="73">
        <f>IF(OR(IF(I38="",IF(H38="",IF(G38="","",G38),H38),I38)="F", IF(L38="",IF(K38="",IF(J38="","",J38), K38),L38)="F")=TRUE,"F",
IF(OR(IF(I38="",IF(H38="",IF(G38="","",G38),H38),I38)="PE", IF(L38="",IF(K38="",IF(J38="","",J38), K38),L38)="PE")=TRUE,"PE",
IF(AND(IF(I38="",IF(H38="",IF(G38="","",G38),H38),I38)="", IF(L38="",IF(K38="",IF(J38="","",J38), K38),L38)="")=TRUE,"","P")))</f>
        <v/>
      </c>
      <c r="N38" s="74" t="n"/>
      <c r="O38" s="75" t="n"/>
    </row>
    <row r="39" customFormat="1" s="79">
      <c r="A39" s="78" t="n"/>
      <c r="B39" s="80" t="inlineStr">
        <is>
          <t>Suite-1: Kiểm tra trạng thái tài khoản</t>
        </is>
      </c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</row>
    <row r="40" ht="189" customFormat="1" customHeight="1" s="62">
      <c r="A40" s="81" t="n"/>
      <c r="B40" s="195" t="inlineStr">
        <is>
          <t>Kiểm tra tài khoản có account.status = 2 (LOCKED)</t>
        </is>
      </c>
      <c r="C40" s="196" t="inlineStr">
        <is>
          <t>Kiểm tra tài khoản vỏ pin, có liên kết thẻ</t>
        </is>
      </c>
      <c r="D40" s="196" t="inlineStr">
        <is>
          <t>1. DB cho vào luồng OTP:
SELECT * FROM cdcn_customer_service.global_config WHERE param_name='recover-pin.app.otp-msisdn-list'</t>
        </is>
      </c>
      <c r="E40" s="68" t="inlineStr">
        <is>
          <t>1. Bỏ SĐT vào luồng OTP
2. Vào app VTM
3. Nhập SĐT
4. Bấm Quên mật khẩu
5. Checklog Kibana: staging-cdcn-customer-service</t>
        </is>
      </c>
      <c r="F40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40" s="72" t="n"/>
      <c r="H40" s="72" t="n"/>
      <c r="I40" s="72" t="n"/>
      <c r="J40" s="72" t="n"/>
      <c r="K40" s="72" t="n"/>
      <c r="L40" s="72" t="n"/>
      <c r="M40" s="73">
        <f>IF(OR(IF(I40="",IF(H40="",IF(G40="","",G40),H40),I40)="F", IF(L40="",IF(K40="",IF(J40="","",J40), K40),L40)="F")=TRUE,"F",
IF(OR(IF(I40="",IF(H40="",IF(G40="","",G40),H40),I40)="PE", IF(L40="",IF(K40="",IF(J40="","",J40), K40),L40)="PE")=TRUE,"PE",
IF(AND(IF(I40="",IF(H40="",IF(G40="","",G40),H40),I40)="", IF(L40="",IF(K40="",IF(J40="","",J40), K40),L40)="")=TRUE,"","P")))</f>
        <v/>
      </c>
      <c r="N40" s="74" t="n"/>
      <c r="O40" s="75" t="n"/>
    </row>
    <row r="41" ht="63" customFormat="1" customHeight="1" s="62">
      <c r="A41" s="81" t="n"/>
      <c r="B41" s="188" t="n"/>
      <c r="C41" s="189" t="n"/>
      <c r="D41" s="189" t="n"/>
      <c r="E41" s="68" t="inlineStr">
        <is>
          <t>6. Nhập PIN mới
7. Login lại app
8. Bấm vào avatar &gt;&gt; Quản lý nguồn tiền</t>
        </is>
      </c>
      <c r="F41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41" s="72" t="n"/>
      <c r="H41" s="72" t="n"/>
      <c r="I41" s="72" t="n"/>
      <c r="J41" s="72" t="n"/>
      <c r="K41" s="72" t="n"/>
      <c r="L41" s="72" t="n"/>
      <c r="M41" s="73">
        <f>IF(OR(IF(I41="",IF(H41="",IF(G41="","",G41),H41),I41)="F", IF(L41="",IF(K41="",IF(J41="","",J41), K41),L41)="F")=TRUE,"F",
IF(OR(IF(I41="",IF(H41="",IF(G41="","",G41),H41),I41)="PE", IF(L41="",IF(K41="",IF(J41="","",J41), K41),L41)="PE")=TRUE,"PE",
IF(AND(IF(I41="",IF(H41="",IF(G41="","",G41),H41),I41)="", IF(L41="",IF(K41="",IF(J41="","",J41), K41),L41)="")=TRUE,"","P")))</f>
        <v/>
      </c>
      <c r="N41" s="74" t="n"/>
      <c r="O41" s="75" t="n"/>
    </row>
    <row r="42" ht="189" customFormat="1" customHeight="1" s="62">
      <c r="A42" s="81" t="n"/>
      <c r="B42" s="188" t="n"/>
      <c r="C42" s="196" t="inlineStr">
        <is>
          <t>Kiểm tra tài khoản chỉ có VTP, có liên kết thẻ</t>
        </is>
      </c>
      <c r="D42" s="197" t="inlineStr">
        <is>
          <t>Liên kết thẻ:
- Napas: SaigonBank
- Trực tiếp: MB, BIDV, Vpbank
- Bán chéo
VTP gói -1, 24,26,23,20</t>
        </is>
      </c>
      <c r="E42" s="68" t="inlineStr">
        <is>
          <t>1. Bỏ SĐT vào luồng OTP
2. Vào app VTM
3. Nhập SĐT
4. Bấm Quên mật khẩu
5. Checklog Kibana: staging-cdcn-customer-service</t>
        </is>
      </c>
      <c r="F42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42" s="72" t="n"/>
      <c r="H42" s="72" t="n"/>
      <c r="I42" s="72" t="n"/>
      <c r="J42" s="72" t="n"/>
      <c r="K42" s="72" t="n"/>
      <c r="L42" s="72" t="n"/>
      <c r="M42" s="73">
        <f>IF(OR(IF(I42="",IF(H42="",IF(G42="","",G42),H42),I42)="F", IF(L42="",IF(K42="",IF(J42="","",J42), K42),L42)="F")=TRUE,"F",
IF(OR(IF(I42="",IF(H42="",IF(G42="","",G42),H42),I42)="PE", IF(L42="",IF(K42="",IF(J42="","",J42), K42),L42)="PE")=TRUE,"PE",
IF(AND(IF(I42="",IF(H42="",IF(G42="","",G42),H42),I42)="", IF(L42="",IF(K42="",IF(J42="","",J42), K42),L42)="")=TRUE,"","P")))</f>
        <v/>
      </c>
      <c r="N42" s="74" t="n"/>
      <c r="O42" s="75" t="n"/>
    </row>
    <row r="43" ht="63" customFormat="1" customHeight="1" s="62">
      <c r="A43" s="81" t="n"/>
      <c r="B43" s="188" t="n"/>
      <c r="C43" s="189" t="n"/>
      <c r="D43" s="189" t="n"/>
      <c r="E43" s="68" t="inlineStr">
        <is>
          <t>6. Nhập PIN mới
7. Login lại app
8. Bấm vào avatar &gt;&gt; Quản lý nguồn tiền</t>
        </is>
      </c>
      <c r="F43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43" s="72" t="n"/>
      <c r="H43" s="72" t="n"/>
      <c r="I43" s="72" t="n"/>
      <c r="J43" s="72" t="n"/>
      <c r="K43" s="72" t="n"/>
      <c r="L43" s="72" t="n"/>
      <c r="M43" s="73">
        <f>IF(OR(IF(I43="",IF(H43="",IF(G43="","",G43),H43),I43)="F", IF(L43="",IF(K43="",IF(J43="","",J43), K43),L43)="F")=TRUE,"F",
IF(OR(IF(I43="",IF(H43="",IF(G43="","",G43),H43),I43)="PE", IF(L43="",IF(K43="",IF(J43="","",J43), K43),L43)="PE")=TRUE,"PE",
IF(AND(IF(I43="",IF(H43="",IF(G43="","",G43),H43),I43)="", IF(L43="",IF(K43="",IF(J43="","",J43), K43),L43)="")=TRUE,"","P")))</f>
        <v/>
      </c>
      <c r="N43" s="74" t="n"/>
      <c r="O43" s="75" t="n"/>
    </row>
    <row r="44" ht="189" customFormat="1" customHeight="1" s="62">
      <c r="A44" s="81" t="n"/>
      <c r="B44" s="188" t="n"/>
      <c r="C44" s="196" t="inlineStr">
        <is>
          <t>Kiểm tra tài khoản chỉ có MM, có liên kết thẻ</t>
        </is>
      </c>
      <c r="D44" s="197" t="n"/>
      <c r="E44" s="68" t="inlineStr">
        <is>
          <t>1. Bỏ SĐT vào luồng OTP
2. Vào app VTM
3. Nhập SĐT
4. Bấm Quên mật khẩu
5. Checklog Kibana: staging-cdcn-customer-service</t>
        </is>
      </c>
      <c r="F44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44" s="72" t="n"/>
      <c r="H44" s="72" t="n"/>
      <c r="I44" s="72" t="n"/>
      <c r="J44" s="72" t="n"/>
      <c r="K44" s="72" t="n"/>
      <c r="L44" s="72" t="n"/>
      <c r="M44" s="73">
        <f>IF(OR(IF(I44="",IF(H44="",IF(G44="","",G44),H44),I44)="F", IF(L44="",IF(K44="",IF(J44="","",J44), K44),L44)="F")=TRUE,"F",
IF(OR(IF(I44="",IF(H44="",IF(G44="","",G44),H44),I44)="PE", IF(L44="",IF(K44="",IF(J44="","",J44), K44),L44)="PE")=TRUE,"PE",
IF(AND(IF(I44="",IF(H44="",IF(G44="","",G44),H44),I44)="", IF(L44="",IF(K44="",IF(J44="","",J44), K44),L44)="")=TRUE,"","P")))</f>
        <v/>
      </c>
      <c r="N44" s="74" t="n"/>
      <c r="O44" s="75" t="n"/>
    </row>
    <row r="45" ht="63" customFormat="1" customHeight="1" s="62">
      <c r="A45" s="81" t="n"/>
      <c r="B45" s="188" t="n"/>
      <c r="C45" s="189" t="n"/>
      <c r="D45" s="189" t="n"/>
      <c r="E45" s="68" t="inlineStr">
        <is>
          <t>6. Nhập PIN mới
7. Login lại app
8. Bấm vào avatar &gt;&gt; Quản lý nguồn tiền</t>
        </is>
      </c>
      <c r="F45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45" s="72" t="n"/>
      <c r="H45" s="72" t="n"/>
      <c r="I45" s="72" t="n"/>
      <c r="J45" s="72" t="n"/>
      <c r="K45" s="72" t="n"/>
      <c r="L45" s="72" t="n"/>
      <c r="M45" s="73">
        <f>IF(OR(IF(I45="",IF(H45="",IF(G45="","",G45),H45),I45)="F", IF(L45="",IF(K45="",IF(J45="","",J45), K45),L45)="F")=TRUE,"F",
IF(OR(IF(I45="",IF(H45="",IF(G45="","",G45),H45),I45)="PE", IF(L45="",IF(K45="",IF(J45="","",J45), K45),L45)="PE")=TRUE,"PE",
IF(AND(IF(I45="",IF(H45="",IF(G45="","",G45),H45),I45)="", IF(L45="",IF(K45="",IF(J45="","",J45), K45),L45)="")=TRUE,"","P")))</f>
        <v/>
      </c>
      <c r="N45" s="74" t="n"/>
      <c r="O45" s="75" t="n"/>
    </row>
    <row r="46" ht="189" customFormat="1" customHeight="1" s="62">
      <c r="A46" s="81" t="n"/>
      <c r="B46" s="188" t="n"/>
      <c r="C46" s="196" t="inlineStr">
        <is>
          <t>Kiểm tra tài khoản có VTT và MM, có liên kết thẻ</t>
        </is>
      </c>
      <c r="D46" s="197" t="inlineStr">
        <is>
          <t>VTT gói 20</t>
        </is>
      </c>
      <c r="E46" s="68" t="inlineStr">
        <is>
          <t>1. Bỏ SĐT vào luồng OTP
2. Vào app VTM
3. Nhập SĐT
4. Bấm Quên mật khẩu
5. Checklog Kibana: staging-cdcn-customer-service</t>
        </is>
      </c>
      <c r="F46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46" s="72" t="n"/>
      <c r="H46" s="72" t="n"/>
      <c r="I46" s="72" t="n"/>
      <c r="J46" s="72" t="n"/>
      <c r="K46" s="72" t="n"/>
      <c r="L46" s="72" t="n"/>
      <c r="M46" s="73">
        <f>IF(OR(IF(I46="",IF(H46="",IF(G46="","",G46),H46),I46)="F", IF(L46="",IF(K46="",IF(J46="","",J46), K46),L46)="F")=TRUE,"F",
IF(OR(IF(I46="",IF(H46="",IF(G46="","",G46),H46),I46)="PE", IF(L46="",IF(K46="",IF(J46="","",J46), K46),L46)="PE")=TRUE,"PE",
IF(AND(IF(I46="",IF(H46="",IF(G46="","",G46),H46),I46)="", IF(L46="",IF(K46="",IF(J46="","",J46), K46),L46)="")=TRUE,"","P")))</f>
        <v/>
      </c>
      <c r="N46" s="74" t="n"/>
      <c r="O46" s="75" t="n"/>
    </row>
    <row r="47" ht="63" customFormat="1" customHeight="1" s="62">
      <c r="A47" s="81" t="n"/>
      <c r="B47" s="188" t="n"/>
      <c r="C47" s="189" t="n"/>
      <c r="D47" s="189" t="n"/>
      <c r="E47" s="68" t="inlineStr">
        <is>
          <t>6. Nhập PIN mới
7. Login lại app
8. Bấm vào avatar &gt;&gt; Quản lý nguồn tiền</t>
        </is>
      </c>
      <c r="F47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47" s="72" t="n"/>
      <c r="H47" s="72" t="n"/>
      <c r="I47" s="72" t="n"/>
      <c r="J47" s="72" t="n"/>
      <c r="K47" s="72" t="n"/>
      <c r="L47" s="72" t="n"/>
      <c r="M47" s="73">
        <f>IF(OR(IF(I47="",IF(H47="",IF(G47="","",G47),H47),I47)="F", IF(L47="",IF(K47="",IF(J47="","",J47), K47),L47)="F")=TRUE,"F",
IF(OR(IF(I47="",IF(H47="",IF(G47="","",G47),H47),I47)="PE", IF(L47="",IF(K47="",IF(J47="","",J47), K47),L47)="PE")=TRUE,"PE",
IF(AND(IF(I47="",IF(H47="",IF(G47="","",G47),H47),I47)="", IF(L47="",IF(K47="",IF(J47="","",J47), K47),L47)="")=TRUE,"","P")))</f>
        <v/>
      </c>
      <c r="N47" s="74" t="n"/>
      <c r="O47" s="75" t="n"/>
    </row>
    <row r="48" ht="94.5" customFormat="1" customHeight="1" s="62">
      <c r="A48" s="81" t="n"/>
      <c r="B48" s="188" t="n"/>
      <c r="C48" s="196" t="inlineStr">
        <is>
          <t>Kiểm tra tài khoản vỏ pin, không có liên kết thẻ</t>
        </is>
      </c>
      <c r="D48" s="196" t="n"/>
      <c r="E48" s="68" t="inlineStr">
        <is>
          <t>1. Bỏ SĐT vào luồng OTP
2. Vào app VTM
3. Nhập SĐT
4. Bấm Quên mật khẩu
5. Checklog Kibana: staging-cdcn-customer-service</t>
        </is>
      </c>
      <c r="F48" s="68" t="inlineStr">
        <is>
          <t>4.1 App call API cấp lại mật khẩu: /customer/v1/accounts/recover-pin-app
4.2. App show màn đổi mật khẩu</t>
        </is>
      </c>
      <c r="G48" s="72" t="n"/>
      <c r="H48" s="72" t="n"/>
      <c r="I48" s="72" t="n"/>
      <c r="J48" s="72" t="n"/>
      <c r="K48" s="72" t="n"/>
      <c r="L48" s="72" t="n"/>
      <c r="M48" s="73">
        <f>IF(OR(IF(I48="",IF(H48="",IF(G48="","",G48),H48),I48)="F", IF(L48="",IF(K48="",IF(J48="","",J48), K48),L48)="F")=TRUE,"F",
IF(OR(IF(I48="",IF(H48="",IF(G48="","",G48),H48),I48)="PE", IF(L48="",IF(K48="",IF(J48="","",J48), K48),L48)="PE")=TRUE,"PE",
IF(AND(IF(I48="",IF(H48="",IF(G48="","",G48),H48),I48)="", IF(L48="",IF(K48="",IF(J48="","",J48), K48),L48)="")=TRUE,"","P")))</f>
        <v/>
      </c>
      <c r="N48" s="74" t="n"/>
      <c r="O48" s="75" t="n"/>
    </row>
    <row r="49" ht="63" customFormat="1" customHeight="1" s="62">
      <c r="A49" s="81" t="n"/>
      <c r="B49" s="188" t="n"/>
      <c r="C49" s="189" t="n"/>
      <c r="D49" s="189" t="n"/>
      <c r="E49" s="68" t="inlineStr">
        <is>
          <t>6. Nhập PIN mới
7. Login lại app
8. Bấm vào avatar &gt;&gt; Quản lý nguồn tiền</t>
        </is>
      </c>
      <c r="F49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49" s="72" t="n"/>
      <c r="H49" s="72" t="n"/>
      <c r="I49" s="72" t="n"/>
      <c r="J49" s="72" t="n"/>
      <c r="K49" s="72" t="n"/>
      <c r="L49" s="72" t="n"/>
      <c r="M49" s="73">
        <f>IF(OR(IF(I49="",IF(H49="",IF(G49="","",G49),H49),I49)="F", IF(L49="",IF(K49="",IF(J49="","",J49), K49),L49)="F")=TRUE,"F",
IF(OR(IF(I49="",IF(H49="",IF(G49="","",G49),H49),I49)="PE", IF(L49="",IF(K49="",IF(J49="","",J49), K49),L49)="PE")=TRUE,"PE",
IF(AND(IF(I49="",IF(H49="",IF(G49="","",G49),H49),I49)="", IF(L49="",IF(K49="",IF(J49="","",J49), K49),L49)="")=TRUE,"","P")))</f>
        <v/>
      </c>
      <c r="N49" s="74" t="n"/>
      <c r="O49" s="75" t="n"/>
    </row>
    <row r="50" ht="94.5" customFormat="1" customHeight="1" s="62">
      <c r="A50" s="81" t="n"/>
      <c r="B50" s="188" t="n"/>
      <c r="C50" s="196" t="inlineStr">
        <is>
          <t>Kiểm tra tài khoản chỉ có VTP, không có liên kết thẻ</t>
        </is>
      </c>
      <c r="D50" s="196" t="inlineStr">
        <is>
          <t>VTP gói -1, 24,26,23,20</t>
        </is>
      </c>
      <c r="E50" s="68" t="inlineStr">
        <is>
          <t>1. Bỏ SĐT vào luồng OTP
2. Vào app VTM
3. Nhập SĐT
4. Bấm Quên mật khẩu
5. Checklog Kibana: staging-cdcn-customer-service</t>
        </is>
      </c>
      <c r="F50" s="68" t="inlineStr">
        <is>
          <t>4.1 App call API cấp lại mật khẩu: /customer/v1/accounts/recover-pin-app
4.2. App show màn đổi mật khẩu</t>
        </is>
      </c>
      <c r="G50" s="72" t="n"/>
      <c r="H50" s="72" t="n"/>
      <c r="I50" s="72" t="n"/>
      <c r="J50" s="72" t="n"/>
      <c r="K50" s="72" t="n"/>
      <c r="L50" s="72" t="n"/>
      <c r="M50" s="73">
        <f>IF(OR(IF(I50="",IF(H50="",IF(G50="","",G50),H50),I50)="F", IF(L50="",IF(K50="",IF(J50="","",J50), K50),L50)="F")=TRUE,"F",
IF(OR(IF(I50="",IF(H50="",IF(G50="","",G50),H50),I50)="PE", IF(L50="",IF(K50="",IF(J50="","",J50), K50),L50)="PE")=TRUE,"PE",
IF(AND(IF(I50="",IF(H50="",IF(G50="","",G50),H50),I50)="", IF(L50="",IF(K50="",IF(J50="","",J50), K50),L50)="")=TRUE,"","P")))</f>
        <v/>
      </c>
      <c r="N50" s="74" t="n"/>
      <c r="O50" s="75" t="n"/>
    </row>
    <row r="51" ht="63" customFormat="1" customHeight="1" s="62">
      <c r="A51" s="81" t="n"/>
      <c r="B51" s="188" t="n"/>
      <c r="C51" s="189" t="n"/>
      <c r="D51" s="189" t="n"/>
      <c r="E51" s="68" t="inlineStr">
        <is>
          <t>6. Nhập PIN mới
7. Login lại app
8. Bấm vào avatar &gt;&gt; Quản lý nguồn tiền</t>
        </is>
      </c>
      <c r="F51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51" s="72" t="n"/>
      <c r="H51" s="72" t="n"/>
      <c r="I51" s="72" t="n"/>
      <c r="J51" s="72" t="n"/>
      <c r="K51" s="72" t="n"/>
      <c r="L51" s="72" t="n"/>
      <c r="M51" s="73">
        <f>IF(OR(IF(I51="",IF(H51="",IF(G51="","",G51),H51),I51)="F", IF(L51="",IF(K51="",IF(J51="","",J51), K51),L51)="F")=TRUE,"F",
IF(OR(IF(I51="",IF(H51="",IF(G51="","",G51),H51),I51)="PE", IF(L51="",IF(K51="",IF(J51="","",J51), K51),L51)="PE")=TRUE,"PE",
IF(AND(IF(I51="",IF(H51="",IF(G51="","",G51),H51),I51)="", IF(L51="",IF(K51="",IF(J51="","",J51), K51),L51)="")=TRUE,"","P")))</f>
        <v/>
      </c>
      <c r="N51" s="74" t="n"/>
      <c r="O51" s="75" t="n"/>
    </row>
    <row r="52" ht="94.5" customFormat="1" customHeight="1" s="62">
      <c r="A52" s="81" t="n"/>
      <c r="B52" s="188" t="n"/>
      <c r="C52" s="196" t="inlineStr">
        <is>
          <t>Kiểm tra tài khoản chỉ có MM, không có liên kết thẻ</t>
        </is>
      </c>
      <c r="D52" s="196" t="n"/>
      <c r="E52" s="68" t="inlineStr">
        <is>
          <t>1. Bỏ SĐT vào luồng OTP
2. Vào app VTM
3. Nhập SĐT
4. Bấm Quên mật khẩu
5. Checklog Kibana: staging-cdcn-customer-service</t>
        </is>
      </c>
      <c r="F52" s="68" t="inlineStr">
        <is>
          <t>4.1 App call API cấp lại mật khẩu: /customer/v1/accounts/recover-pin-app
4.2. App show màn đổi mật khẩu</t>
        </is>
      </c>
      <c r="G52" s="72" t="n"/>
      <c r="H52" s="72" t="n"/>
      <c r="I52" s="72" t="n"/>
      <c r="J52" s="72" t="n"/>
      <c r="K52" s="72" t="n"/>
      <c r="L52" s="72" t="n"/>
      <c r="M52" s="73">
        <f>IF(OR(IF(I52="",IF(H52="",IF(G52="","",G52),H52),I52)="F", IF(L52="",IF(K52="",IF(J52="","",J52), K52),L52)="F")=TRUE,"F",
IF(OR(IF(I52="",IF(H52="",IF(G52="","",G52),H52),I52)="PE", IF(L52="",IF(K52="",IF(J52="","",J52), K52),L52)="PE")=TRUE,"PE",
IF(AND(IF(I52="",IF(H52="",IF(G52="","",G52),H52),I52)="", IF(L52="",IF(K52="",IF(J52="","",J52), K52),L52)="")=TRUE,"","P")))</f>
        <v/>
      </c>
      <c r="N52" s="74" t="n"/>
      <c r="O52" s="75" t="n"/>
    </row>
    <row r="53" ht="63" customFormat="1" customHeight="1" s="62">
      <c r="A53" s="81" t="n"/>
      <c r="B53" s="188" t="n"/>
      <c r="C53" s="189" t="n"/>
      <c r="D53" s="189" t="n"/>
      <c r="E53" s="68" t="inlineStr">
        <is>
          <t>6. Nhập PIN mới
7. Login lại app
8. Bấm vào avatar &gt;&gt; Quản lý nguồn tiền</t>
        </is>
      </c>
      <c r="F53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53" s="72" t="n"/>
      <c r="H53" s="72" t="n"/>
      <c r="I53" s="72" t="n"/>
      <c r="J53" s="72" t="n"/>
      <c r="K53" s="72" t="n"/>
      <c r="L53" s="72" t="n"/>
      <c r="M53" s="73">
        <f>IF(OR(IF(I53="",IF(H53="",IF(G53="","",G53),H53),I53)="F", IF(L53="",IF(K53="",IF(J53="","",J53), K53),L53)="F")=TRUE,"F",
IF(OR(IF(I53="",IF(H53="",IF(G53="","",G53),H53),I53)="PE", IF(L53="",IF(K53="",IF(J53="","",J53), K53),L53)="PE")=TRUE,"PE",
IF(AND(IF(I53="",IF(H53="",IF(G53="","",G53),H53),I53)="", IF(L53="",IF(K53="",IF(J53="","",J53), K53),L53)="")=TRUE,"","P")))</f>
        <v/>
      </c>
      <c r="N53" s="74" t="n"/>
      <c r="O53" s="75" t="n"/>
    </row>
    <row r="54" ht="94.5" customFormat="1" customHeight="1" s="62">
      <c r="A54" s="81" t="n"/>
      <c r="B54" s="188" t="n"/>
      <c r="C54" s="196" t="inlineStr">
        <is>
          <t>Kiểm tra tài khoản có VTT và MM, không có liên kết thẻ</t>
        </is>
      </c>
      <c r="D54" s="196" t="inlineStr">
        <is>
          <t>VTP gói 20</t>
        </is>
      </c>
      <c r="E54" s="68" t="inlineStr">
        <is>
          <t>1. Bỏ SĐT vào luồng OTP
2. Vào app VTM
3. Nhập SĐT
4. Bấm Quên mật khẩu
5. Checklog Kibana: staging-cdcn-customer-service</t>
        </is>
      </c>
      <c r="F54" s="68" t="inlineStr">
        <is>
          <t>4.1 App call API cấp lại mật khẩu: /customer/v1/accounts/recover-pin-app
4.2. App show màn đổi mật khẩu</t>
        </is>
      </c>
      <c r="G54" s="72" t="n"/>
      <c r="H54" s="72" t="n"/>
      <c r="I54" s="72" t="n"/>
      <c r="J54" s="72" t="n"/>
      <c r="K54" s="72" t="n"/>
      <c r="L54" s="72" t="n"/>
      <c r="M54" s="73">
        <f>IF(OR(IF(I54="",IF(H54="",IF(G54="","",G54),H54),I54)="F", IF(L54="",IF(K54="",IF(J54="","",J54), K54),L54)="F")=TRUE,"F",
IF(OR(IF(I54="",IF(H54="",IF(G54="","",G54),H54),I54)="PE", IF(L54="",IF(K54="",IF(J54="","",J54), K54),L54)="PE")=TRUE,"PE",
IF(AND(IF(I54="",IF(H54="",IF(G54="","",G54),H54),I54)="", IF(L54="",IF(K54="",IF(J54="","",J54), K54),L54)="")=TRUE,"","P")))</f>
        <v/>
      </c>
      <c r="N54" s="74" t="n"/>
      <c r="O54" s="75" t="n"/>
    </row>
    <row r="55" ht="63" customFormat="1" customHeight="1" s="62">
      <c r="A55" s="81" t="n"/>
      <c r="B55" s="189" t="n"/>
      <c r="C55" s="189" t="n"/>
      <c r="D55" s="189" t="n"/>
      <c r="E55" s="68" t="inlineStr">
        <is>
          <t>6. Nhập PIN mới
7. Login lại app
8. Bấm vào avatar &gt;&gt; Quản lý nguồn tiền</t>
        </is>
      </c>
      <c r="F55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55" s="72" t="n"/>
      <c r="H55" s="72" t="n"/>
      <c r="I55" s="72" t="n"/>
      <c r="J55" s="72" t="n"/>
      <c r="K55" s="72" t="n"/>
      <c r="L55" s="72" t="n"/>
      <c r="M55" s="73">
        <f>IF(OR(IF(I55="",IF(H55="",IF(G55="","",G55),H55),I55)="F", IF(L55="",IF(K55="",IF(J55="","",J55), K55),L55)="F")=TRUE,"F",
IF(OR(IF(I55="",IF(H55="",IF(G55="","",G55),H55),I55)="PE", IF(L55="",IF(K55="",IF(J55="","",J55), K55),L55)="PE")=TRUE,"PE",
IF(AND(IF(I55="",IF(H55="",IF(G55="","",G55),H55),I55)="", IF(L55="",IF(K55="",IF(J55="","",J55), K55),L55)="")=TRUE,"","P")))</f>
        <v/>
      </c>
      <c r="N55" s="74" t="n"/>
      <c r="O55" s="75" t="n"/>
    </row>
    <row r="56" ht="94.5" customFormat="1" customHeight="1" s="62">
      <c r="A56" s="81" t="n"/>
      <c r="B56" s="195" t="inlineStr">
        <is>
          <t>Kiểm tra tài khoản có account.status khác 2</t>
        </is>
      </c>
      <c r="C56" s="68" t="inlineStr">
        <is>
          <t>Kiểm tra tài khoản có account.status = 1 (Hoạt động)</t>
        </is>
      </c>
      <c r="D56" s="68" t="n"/>
      <c r="E56" s="68" t="inlineStr">
        <is>
          <t>1. Bỏ SĐT vào luồng OTP
2. Vào app VTM
3. Nhập SĐT
4. Bấm Quên mật khẩu
5. Checklog Kibana: staging-cdcn-customer-service</t>
        </is>
      </c>
      <c r="F56" s="68" t="inlineStr">
        <is>
          <t>4. Đi tiếp case Kiểm tra nguồn tiền hạ tầng bên dưới</t>
        </is>
      </c>
      <c r="G56" s="72" t="n"/>
      <c r="H56" s="72" t="n"/>
      <c r="I56" s="72" t="n"/>
      <c r="J56" s="72" t="n"/>
      <c r="K56" s="72" t="n"/>
      <c r="L56" s="72" t="n"/>
      <c r="M56" s="73">
        <f>IF(OR(IF(I56="",IF(H56="",IF(G56="","",G56),H56),I56)="F", IF(L56="",IF(K56="",IF(J56="","",J56), K56),L56)="F")=TRUE,"F",
IF(OR(IF(I56="",IF(H56="",IF(G56="","",G56),H56),I56)="PE", IF(L56="",IF(K56="",IF(J56="","",J56), K56),L56)="PE")=TRUE,"PE",
IF(AND(IF(I56="",IF(H56="",IF(G56="","",G56),H56),I56)="", IF(L56="",IF(K56="",IF(J56="","",J56), K56),L56)="")=TRUE,"","P")))</f>
        <v/>
      </c>
      <c r="N56" s="74" t="n"/>
      <c r="O56" s="75" t="n"/>
    </row>
    <row r="57" ht="94.5" customFormat="1" customHeight="1" s="62">
      <c r="A57" s="81" t="n"/>
      <c r="B57" s="188" t="n"/>
      <c r="C57" s="68" t="inlineStr">
        <is>
          <t>Kiểm tra tài khoản có account.status = 3 (khoá do sai PIN)</t>
        </is>
      </c>
      <c r="D57" s="68" t="n"/>
      <c r="E57" s="68" t="inlineStr">
        <is>
          <t>1. Bỏ SĐT vào luồng OTP
2. Vào app VTM
3. Nhập SĐT
4. Bấm Quên mật khẩu
5. Checklog Kibana: staging-cdcn-customer-service</t>
        </is>
      </c>
      <c r="F57" s="68" t="inlineStr">
        <is>
          <t>4. Đi tiếp case Kiểm tra nguồn tiền hạ tầng bên dưới</t>
        </is>
      </c>
      <c r="G57" s="72" t="n"/>
      <c r="H57" s="72" t="n"/>
      <c r="I57" s="72" t="n"/>
      <c r="J57" s="72" t="n"/>
      <c r="K57" s="72" t="n"/>
      <c r="L57" s="72" t="n"/>
      <c r="M57" s="73">
        <f>IF(OR(IF(I57="",IF(H57="",IF(G57="","",G57),H57),I57)="F", IF(L57="",IF(K57="",IF(J57="","",J57), K57),L57)="F")=TRUE,"F",
IF(OR(IF(I57="",IF(H57="",IF(G57="","",G57),H57),I57)="PE", IF(L57="",IF(K57="",IF(J57="","",J57), K57),L57)="PE")=TRUE,"PE",
IF(AND(IF(I57="",IF(H57="",IF(G57="","",G57),H57),I57)="", IF(L57="",IF(K57="",IF(J57="","",J57), K57),L57)="")=TRUE,"","P")))</f>
        <v/>
      </c>
      <c r="N57" s="74" t="n"/>
      <c r="O57" s="75" t="n"/>
    </row>
    <row r="58" ht="94.5" customFormat="1" customHeight="1" s="62">
      <c r="A58" s="81" t="n"/>
      <c r="B58" s="189" t="n"/>
      <c r="C58" s="68" t="inlineStr">
        <is>
          <t>Kiểm tra tài khoản có account.status = 4 (huỷ dịch vụ)</t>
        </is>
      </c>
      <c r="D58" s="68" t="n"/>
      <c r="E58" s="68" t="inlineStr">
        <is>
          <t>1. Bỏ SĐT vào luồng OTP
2. Vào app VTM
3. Nhập SĐT
4. Bấm Quên mật khẩu
5. Checklog Kibana: staging-cdcn-customer-service</t>
        </is>
      </c>
      <c r="F58" s="68" t="inlineStr">
        <is>
          <t>4. Đi tiếp case Kiểm tra nguồn tiền hạ tầng bên dưới</t>
        </is>
      </c>
      <c r="G58" s="72" t="n"/>
      <c r="H58" s="72" t="n"/>
      <c r="I58" s="72" t="n"/>
      <c r="J58" s="72" t="n"/>
      <c r="K58" s="72" t="n"/>
      <c r="L58" s="72" t="n"/>
      <c r="M58" s="73">
        <f>IF(OR(IF(I58="",IF(H58="",IF(G58="","",G58),H58),I58)="F", IF(L58="",IF(K58="",IF(J58="","",J58), K58),L58)="F")=TRUE,"F",
IF(OR(IF(I58="",IF(H58="",IF(G58="","",G58),H58),I58)="PE", IF(L58="",IF(K58="",IF(J58="","",J58), K58),L58)="PE")=TRUE,"PE",
IF(AND(IF(I58="",IF(H58="",IF(G58="","",G58),H58),I58)="", IF(L58="",IF(K58="",IF(J58="","",J58), K58),L58)="")=TRUE,"","P")))</f>
        <v/>
      </c>
      <c r="N58" s="74" t="n"/>
      <c r="O58" s="75" t="n"/>
    </row>
    <row r="59" customFormat="1" s="79">
      <c r="A59" s="78" t="n"/>
      <c r="B59" s="80" t="inlineStr">
        <is>
          <t>Suite-1: Kiểm tra nguồn tiền hạ tầng</t>
        </is>
      </c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</row>
    <row r="60" customFormat="1" s="79">
      <c r="A60" s="78" t="n"/>
      <c r="B60" s="80" t="inlineStr">
        <is>
          <t>Suite-2: Kiểm tra tài khoản có nguồn tiền VTT</t>
        </is>
      </c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</row>
    <row r="61" ht="94.5" customFormat="1" customHeight="1" s="62">
      <c r="A61" s="81" t="n"/>
      <c r="B61" s="65" t="inlineStr">
        <is>
          <t>Kiểm tra có sổ tiết kiệm</t>
        </is>
      </c>
      <c r="C61" s="68" t="n"/>
      <c r="D61" s="68" t="n"/>
      <c r="E61" s="68" t="inlineStr">
        <is>
          <t>1. Bỏ SĐT vào luồng OTP
2. Vào app VTM
3. Nhập SĐT
4. Bấm Quên mật khẩu
5. Checklog Kibana: staging-cdcn-customer-service</t>
        </is>
      </c>
      <c r="F61" s="68" t="inlineStr">
        <is>
          <t>4.1. Call API check sổ tiết kiệm: /spi/v1/payapp/saving/info
4.2. Trả về mã lỗi:  CS0271=Force to web (Yêu cầu ra quầy)</t>
        </is>
      </c>
      <c r="G61" s="72" t="n"/>
      <c r="H61" s="72" t="n"/>
      <c r="I61" s="72" t="n"/>
      <c r="J61" s="72" t="n"/>
      <c r="K61" s="72" t="n"/>
      <c r="L61" s="72" t="n"/>
      <c r="M61" s="73">
        <f>IF(OR(IF(I61="",IF(H61="",IF(G61="","",G61),H61),I61)="F", IF(L61="",IF(K61="",IF(J61="","",J61), K61),L61)="F")=TRUE,"F",
IF(OR(IF(I61="",IF(H61="",IF(G61="","",G61),H61),I61)="PE", IF(L61="",IF(K61="",IF(J61="","",J61), K61),L61)="PE")=TRUE,"PE",
IF(AND(IF(I61="",IF(H61="",IF(G61="","",G61),H61),I61)="", IF(L61="",IF(K61="",IF(J61="","",J61), K61),L61)="")=TRUE,"","P")))</f>
        <v/>
      </c>
      <c r="N61" s="74" t="n"/>
      <c r="O61" s="75" t="n"/>
    </row>
    <row r="62" customFormat="1" s="62">
      <c r="A62" s="81" t="n"/>
      <c r="B62" s="198" t="inlineStr">
        <is>
          <t>Kiểm tra không có sổ tiết kiệm</t>
        </is>
      </c>
      <c r="C62" s="181" t="n"/>
      <c r="D62" s="181" t="n"/>
      <c r="E62" s="181" t="n"/>
      <c r="F62" s="184" t="n"/>
      <c r="G62" s="72" t="n"/>
      <c r="H62" s="72" t="n"/>
      <c r="I62" s="72" t="n"/>
      <c r="J62" s="72" t="n"/>
      <c r="K62" s="72" t="n"/>
      <c r="L62" s="72" t="n"/>
      <c r="M62" s="73">
        <f>IF(OR(IF(I62="",IF(H62="",IF(G62="","",G62),H62),I62)="F", IF(L62="",IF(K62="",IF(J62="","",J62), K62),L62)="F")=TRUE,"F",
IF(OR(IF(I62="",IF(H62="",IF(G62="","",G62),H62),I62)="PE", IF(L62="",IF(K62="",IF(J62="","",J62), K62),L62)="PE")=TRUE,"PE",
IF(AND(IF(I62="",IF(H62="",IF(G62="","",G62),H62),I62)="", IF(L62="",IF(K62="",IF(J62="","",J62), K62),L62)="")=TRUE,"","P")))</f>
        <v/>
      </c>
      <c r="N62" s="74" t="n"/>
      <c r="O62" s="75" t="n"/>
    </row>
    <row r="63" ht="189" customFormat="1" customHeight="1" s="62">
      <c r="A63" s="81" t="n"/>
      <c r="B63" s="199" t="inlineStr">
        <is>
          <t>Kiểm tra đã kích hoạt PIN</t>
        </is>
      </c>
      <c r="C63" s="196" t="inlineStr">
        <is>
          <t>Kiểm tra tài khoản vỏ pin, có liên kết thẻ</t>
        </is>
      </c>
      <c r="D63" s="196" t="inlineStr">
        <is>
          <t>1. DB cho vào luồng OTP:
SELECT * FROM cdcn_customer_service.global_config WHERE param_name='recover-pin.app.otp-msisdn-list'</t>
        </is>
      </c>
      <c r="E63" s="68" t="inlineStr">
        <is>
          <t>1. Bỏ SĐT vào luồng OTP
2. Vào app VTM
3. Nhập SĐT
4. Bấm Quên mật khẩu
5. Checklog Kibana: staging-cdcn-customer-service</t>
        </is>
      </c>
      <c r="F63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63" s="72" t="n"/>
      <c r="H63" s="72" t="n"/>
      <c r="I63" s="72" t="n"/>
      <c r="J63" s="72" t="n"/>
      <c r="K63" s="72" t="n"/>
      <c r="L63" s="72" t="n"/>
      <c r="M63" s="73">
        <f>IF(OR(IF(I63="",IF(H63="",IF(G63="","",G63),H63),I63)="F", IF(L63="",IF(K63="",IF(J63="","",J63), K63),L63)="F")=TRUE,"F",
IF(OR(IF(I63="",IF(H63="",IF(G63="","",G63),H63),I63)="PE", IF(L63="",IF(K63="",IF(J63="","",J63), K63),L63)="PE")=TRUE,"PE",
IF(AND(IF(I63="",IF(H63="",IF(G63="","",G63),H63),I63)="", IF(L63="",IF(K63="",IF(J63="","",J63), K63),L63)="")=TRUE,"","P")))</f>
        <v/>
      </c>
      <c r="N63" s="74" t="n"/>
      <c r="O63" s="75" t="n"/>
    </row>
    <row r="64" ht="63" customFormat="1" customHeight="1" s="62">
      <c r="A64" s="81" t="n"/>
      <c r="B64" s="188" t="n"/>
      <c r="C64" s="189" t="n"/>
      <c r="D64" s="189" t="n"/>
      <c r="E64" s="68" t="inlineStr">
        <is>
          <t>6. Nhập PIN mới
7. Login lại app
8. Bấm vào avatar &gt;&gt; Quản lý nguồn tiền</t>
        </is>
      </c>
      <c r="F64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64" s="72" t="n"/>
      <c r="H64" s="72" t="n"/>
      <c r="I64" s="72" t="n"/>
      <c r="J64" s="72" t="n"/>
      <c r="K64" s="72" t="n"/>
      <c r="L64" s="72" t="n"/>
      <c r="M64" s="73">
        <f>IF(OR(IF(I64="",IF(H64="",IF(G64="","",G64),H64),I64)="F", IF(L64="",IF(K64="",IF(J64="","",J64), K64),L64)="F")=TRUE,"F",
IF(OR(IF(I64="",IF(H64="",IF(G64="","",G64),H64),I64)="PE", IF(L64="",IF(K64="",IF(J64="","",J64), K64),L64)="PE")=TRUE,"PE",
IF(AND(IF(I64="",IF(H64="",IF(G64="","",G64),H64),I64)="", IF(L64="",IF(K64="",IF(J64="","",J64), K64),L64)="")=TRUE,"","P")))</f>
        <v/>
      </c>
      <c r="N64" s="74" t="n"/>
      <c r="O64" s="75" t="n"/>
    </row>
    <row r="65" ht="189" customFormat="1" customHeight="1" s="62">
      <c r="A65" s="81" t="n"/>
      <c r="B65" s="188" t="n"/>
      <c r="C65" s="196" t="inlineStr">
        <is>
          <t>Kiểm tra tài khoản chỉ có VTP, có liên kết thẻ</t>
        </is>
      </c>
      <c r="D65" s="197" t="inlineStr">
        <is>
          <t>Liên kết thẻ:
- Napas: SaigonBank
- Trực tiếp: MB, BIDV, Vpbank
- Bán chéo
VTP gói -1, 24,26,23,20</t>
        </is>
      </c>
      <c r="E65" s="68" t="inlineStr">
        <is>
          <t>1. Bỏ SĐT vào luồng OTP
2. Vào app VTM
3. Nhập SĐT
4. Bấm Quên mật khẩu
5. Checklog Kibana: staging-cdcn-customer-service</t>
        </is>
      </c>
      <c r="F65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65" s="72" t="n"/>
      <c r="H65" s="72" t="n"/>
      <c r="I65" s="72" t="n"/>
      <c r="J65" s="72" t="n"/>
      <c r="K65" s="72" t="n"/>
      <c r="L65" s="72" t="n"/>
      <c r="M65" s="73">
        <f>IF(OR(IF(I65="",IF(H65="",IF(G65="","",G65),H65),I65)="F", IF(L65="",IF(K65="",IF(J65="","",J65), K65),L65)="F")=TRUE,"F",
IF(OR(IF(I65="",IF(H65="",IF(G65="","",G65),H65),I65)="PE", IF(L65="",IF(K65="",IF(J65="","",J65), K65),L65)="PE")=TRUE,"PE",
IF(AND(IF(I65="",IF(H65="",IF(G65="","",G65),H65),I65)="", IF(L65="",IF(K65="",IF(J65="","",J65), K65),L65)="")=TRUE,"","P")))</f>
        <v/>
      </c>
      <c r="N65" s="74" t="n"/>
      <c r="O65" s="75" t="n"/>
    </row>
    <row r="66" ht="63" customFormat="1" customHeight="1" s="62">
      <c r="A66" s="81" t="n"/>
      <c r="B66" s="188" t="n"/>
      <c r="C66" s="189" t="n"/>
      <c r="D66" s="189" t="n"/>
      <c r="E66" s="68" t="inlineStr">
        <is>
          <t>6. Nhập PIN mới
7. Login lại app
8. Bấm vào avatar &gt;&gt; Quản lý nguồn tiền</t>
        </is>
      </c>
      <c r="F66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66" s="72" t="n"/>
      <c r="H66" s="72" t="n"/>
      <c r="I66" s="72" t="n"/>
      <c r="J66" s="72" t="n"/>
      <c r="K66" s="72" t="n"/>
      <c r="L66" s="72" t="n"/>
      <c r="M66" s="73">
        <f>IF(OR(IF(I66="",IF(H66="",IF(G66="","",G66),H66),I66)="F", IF(L66="",IF(K66="",IF(J66="","",J66), K66),L66)="F")=TRUE,"F",
IF(OR(IF(I66="",IF(H66="",IF(G66="","",G66),H66),I66)="PE", IF(L66="",IF(K66="",IF(J66="","",J66), K66),L66)="PE")=TRUE,"PE",
IF(AND(IF(I66="",IF(H66="",IF(G66="","",G66),H66),I66)="", IF(L66="",IF(K66="",IF(J66="","",J66), K66),L66)="")=TRUE,"","P")))</f>
        <v/>
      </c>
      <c r="N66" s="74" t="n"/>
      <c r="O66" s="75" t="n"/>
    </row>
    <row r="67" ht="189" customHeight="1">
      <c r="A67" s="83" t="n"/>
      <c r="B67" s="188" t="n"/>
      <c r="C67" s="196" t="inlineStr">
        <is>
          <t>Kiểm tra tài khoản có VTT và MM, có liên kết thẻ</t>
        </is>
      </c>
      <c r="D67" s="197" t="inlineStr">
        <is>
          <t>VTT gói 20</t>
        </is>
      </c>
      <c r="E67" s="68" t="inlineStr">
        <is>
          <t>1. Bỏ SĐT vào luồng OTP
2. Vào app VTM
3. Nhập SĐT
4. Bấm Quên mật khẩu
5. Checklog Kibana: staging-cdcn-customer-service</t>
        </is>
      </c>
      <c r="F67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67" s="72" t="n"/>
      <c r="H67" s="72" t="n"/>
      <c r="I67" s="83" t="n"/>
      <c r="J67" s="83" t="n"/>
      <c r="K67" s="83" t="n"/>
      <c r="L67" s="83" t="n"/>
      <c r="M67" s="73">
        <f>IF(OR(IF(I67="",IF(H67="",IF(G67="","",G67),H67),I67)="F", IF(L67="",IF(K67="",IF(J67="","",J67), K67),L67)="F")=TRUE,"F",
IF(OR(IF(I67="",IF(H67="",IF(G67="","",G67),H67),I67)="PE", IF(L67="",IF(K67="",IF(J67="","",J67), K67),L67)="PE")=TRUE,"PE",
IF(AND(IF(I67="",IF(H67="",IF(G67="","",G67),H67),I67)="", IF(L67="",IF(K67="",IF(J67="","",J67), K67),L67)="")=TRUE,"","P")))</f>
        <v/>
      </c>
      <c r="N67" s="83" t="n"/>
      <c r="O67" s="83" t="n"/>
    </row>
    <row r="68" ht="63" customHeight="1">
      <c r="A68" s="83" t="n"/>
      <c r="B68" s="188" t="n"/>
      <c r="C68" s="189" t="n"/>
      <c r="D68" s="189" t="n"/>
      <c r="E68" s="68" t="inlineStr">
        <is>
          <t>6. Nhập PIN mới
7. Login lại app
8. Bấm vào avatar &gt;&gt; Quản lý nguồn tiền</t>
        </is>
      </c>
      <c r="F68" s="68" t="inlineStr">
        <is>
          <t>6.1. Đổi mật khẩu thành công 6.2. Gửi SMS: Bạn đã đổi mật khẩu thành công, mật khẩu mới là xxxx,…...
7. Login lại = mật khẩu mới thành công
8. Liên kết thẻ trước đó không hiển thị trên app</t>
        </is>
      </c>
      <c r="G68" s="72" t="n"/>
      <c r="H68" s="72" t="n"/>
      <c r="I68" s="83" t="n"/>
      <c r="J68" s="83" t="n"/>
      <c r="K68" s="83" t="n"/>
      <c r="L68" s="83" t="n"/>
      <c r="M68" s="73">
        <f>IF(OR(IF(I68="",IF(H68="",IF(G68="","",G68),H68),I68)="F", IF(L68="",IF(K68="",IF(J68="","",J68), K68),L68)="F")=TRUE,"F",
IF(OR(IF(I68="",IF(H68="",IF(G68="","",G68),H68),I68)="PE", IF(L68="",IF(K68="",IF(J68="","",J68), K68),L68)="PE")=TRUE,"PE",
IF(AND(IF(I68="",IF(H68="",IF(G68="","",G68),H68),I68)="", IF(L68="",IF(K68="",IF(J68="","",J68), K68),L68)="")=TRUE,"","P")))</f>
        <v/>
      </c>
      <c r="N68" s="83" t="n"/>
      <c r="O68" s="75" t="n"/>
    </row>
    <row r="69" ht="94.5" customHeight="1">
      <c r="A69" s="83" t="n"/>
      <c r="B69" s="188" t="n"/>
      <c r="C69" s="196" t="inlineStr">
        <is>
          <t>Kiểm tra tài khoản vỏ pin, không có liên kết thẻ</t>
        </is>
      </c>
      <c r="D69" s="196" t="n"/>
      <c r="E69" s="68" t="inlineStr">
        <is>
          <t>1. Bỏ SĐT vào luồng OTP
2. Vào app VTM
3. Nhập SĐT
4. Bấm Quên mật khẩu
5. Checklog Kibana: staging-cdcn-customer-service</t>
        </is>
      </c>
      <c r="F69" s="68" t="inlineStr">
        <is>
          <t>4.1 App call API cấp lại mật khẩu: /customer/v1/accounts/recover-pin-app
4.2. App show màn đổi mật khẩu</t>
        </is>
      </c>
      <c r="G69" s="72" t="n"/>
      <c r="H69" s="72" t="n"/>
      <c r="I69" s="83" t="n"/>
      <c r="J69" s="83" t="n"/>
      <c r="K69" s="83" t="n"/>
      <c r="L69" s="83" t="n"/>
      <c r="M69" s="73">
        <f>IF(OR(IF(I69="",IF(H69="",IF(G69="","",G69),H69),I69)="F", IF(L69="",IF(K69="",IF(J69="","",J69), K69),L69)="F")=TRUE,"F",
IF(OR(IF(I69="",IF(H69="",IF(G69="","",G69),H69),I69)="PE", IF(L69="",IF(K69="",IF(J69="","",J69), K69),L69)="PE")=TRUE,"PE",
IF(AND(IF(I69="",IF(H69="",IF(G69="","",G69),H69),I69)="", IF(L69="",IF(K69="",IF(J69="","",J69), K69),L69)="")=TRUE,"","P")))</f>
        <v/>
      </c>
      <c r="N69" s="83" t="n"/>
      <c r="O69" s="75" t="n"/>
    </row>
    <row r="70" ht="63" customFormat="1" customHeight="1" s="62">
      <c r="A70" s="81" t="n"/>
      <c r="B70" s="188" t="n"/>
      <c r="C70" s="189" t="n"/>
      <c r="D70" s="189" t="n"/>
      <c r="E70" s="68" t="inlineStr">
        <is>
          <t>6. Nhập PIN mới
7. Login lại app
8. Bấm vào avatar &gt;&gt; Quản lý nguồn tiền</t>
        </is>
      </c>
      <c r="F70" s="68" t="inlineStr">
        <is>
          <t>6.1. Đổi mật khẩu thành công
6.2. Gửi SMS: Bạn đã đổi mật khẩu thành công, mật khẩu mới là xxxx,…...
7. Login lại = mật khẩu mới thành công
8. Liên kết thẻ trước đó không hiển thị trên app</t>
        </is>
      </c>
      <c r="G70" s="72" t="n"/>
      <c r="H70" s="72" t="n"/>
      <c r="I70" s="72" t="n"/>
      <c r="J70" s="72" t="n"/>
      <c r="K70" s="72" t="n"/>
      <c r="L70" s="72" t="n"/>
      <c r="M70" s="73">
        <f>IF(OR(IF(I70="",IF(H70="",IF(G70="","",G70),H70),I70)="F", IF(L70="",IF(K70="",IF(J70="","",J70), K70),L70)="F")=TRUE,"F",
IF(OR(IF(I70="",IF(H70="",IF(G70="","",G70),H70),I70)="PE", IF(L70="",IF(K70="",IF(J70="","",J70), K70),L70)="PE")=TRUE,"PE",
IF(AND(IF(I70="",IF(H70="",IF(G70="","",G70),H70),I70)="", IF(L70="",IF(K70="",IF(J70="","",J70), K70),L70)="")=TRUE,"","P")))</f>
        <v/>
      </c>
      <c r="N70" s="74" t="n"/>
      <c r="O70" s="75" t="n"/>
    </row>
    <row r="71" ht="94.5" customFormat="1" customHeight="1" s="62">
      <c r="A71" s="81" t="n"/>
      <c r="B71" s="188" t="n"/>
      <c r="C71" s="196" t="inlineStr">
        <is>
          <t>Kiểm tra tài khoản chỉ có VTP, không có liên kết thẻ</t>
        </is>
      </c>
      <c r="D71" s="196" t="inlineStr">
        <is>
          <t>VTP gói -1, 24,26,23,20</t>
        </is>
      </c>
      <c r="E71" s="68" t="inlineStr">
        <is>
          <t>1. Bỏ SĐT vào luồng OTP
2. Vào app VTM
3. Nhập SĐT
4. Bấm Quên mật khẩu
5. Checklog Kibana: staging-cdcn-customer-service</t>
        </is>
      </c>
      <c r="F71" s="68" t="inlineStr">
        <is>
          <t>4.1 App call API cấp lại mật khẩu: /customer/v1/accounts/recover-pin-app
4.2. App show màn đổi mật khẩu</t>
        </is>
      </c>
      <c r="G71" s="72" t="n"/>
      <c r="H71" s="72" t="n"/>
      <c r="I71" s="72" t="n"/>
      <c r="J71" s="72" t="n"/>
      <c r="K71" s="72" t="n"/>
      <c r="L71" s="72" t="n"/>
      <c r="M71" s="73">
        <f>IF(OR(IF(I71="",IF(H71="",IF(G71="","",G71),H71),I71)="F", IF(L71="",IF(K71="",IF(J71="","",J71), K71),L71)="F")=TRUE,"F",
IF(OR(IF(I71="",IF(H71="",IF(G71="","",G71),H71),I71)="PE", IF(L71="",IF(K71="",IF(J71="","",J71), K71),L71)="PE")=TRUE,"PE",
IF(AND(IF(I71="",IF(H71="",IF(G71="","",G71),H71),I71)="", IF(L71="",IF(K71="",IF(J71="","",J71), K71),L71)="")=TRUE,"","P")))</f>
        <v/>
      </c>
      <c r="N71" s="74" t="n"/>
      <c r="O71" s="75" t="n"/>
    </row>
    <row r="72" ht="63" customFormat="1" customHeight="1" s="62">
      <c r="A72" s="81" t="n"/>
      <c r="B72" s="188" t="n"/>
      <c r="C72" s="189" t="n"/>
      <c r="D72" s="189" t="n"/>
      <c r="E72" s="68" t="inlineStr">
        <is>
          <t>6. Nhập PIN mới
7. Login lại app
8. Bấm vào avatar &gt;&gt; Quản lý nguồn tiền</t>
        </is>
      </c>
      <c r="F72" s="68" t="inlineStr">
        <is>
          <t>6.1. Đổi mật khẩu thành công
6.2. Gửi SMS: Bạn đã đổi mật khẩu thành công, mật khẩu mới là xxxx,…...
7. Login lại = mật khẩu mới thành công
8. Liên kết thẻ trước đó không hiển thị trên app</t>
        </is>
      </c>
      <c r="G72" s="72" t="n"/>
      <c r="H72" s="72" t="n"/>
      <c r="I72" s="72" t="n"/>
      <c r="J72" s="72" t="n"/>
      <c r="K72" s="72" t="n"/>
      <c r="L72" s="72" t="n"/>
      <c r="M72" s="73">
        <f>IF(OR(IF(I72="",IF(H72="",IF(G72="","",G72),H72),I72)="F", IF(L72="",IF(K72="",IF(J72="","",J72), K72),L72)="F")=TRUE,"F",
IF(OR(IF(I72="",IF(H72="",IF(G72="","",G72),H72),I72)="PE", IF(L72="",IF(K72="",IF(J72="","",J72), K72),L72)="PE")=TRUE,"PE",
IF(AND(IF(I72="",IF(H72="",IF(G72="","",G72),H72),I72)="", IF(L72="",IF(K72="",IF(J72="","",J72), K72),L72)="")=TRUE,"","P")))</f>
        <v/>
      </c>
      <c r="N72" s="74" t="n"/>
      <c r="O72" s="75" t="n"/>
    </row>
    <row r="73" ht="94.5" customFormat="1" customHeight="1" s="62">
      <c r="A73" s="81" t="n"/>
      <c r="B73" s="188" t="n"/>
      <c r="C73" s="196" t="inlineStr">
        <is>
          <t>Kiểm tra tài khoản có VTT và MM, không có liên kết thẻ</t>
        </is>
      </c>
      <c r="D73" s="196" t="inlineStr">
        <is>
          <t>VTP gói 20</t>
        </is>
      </c>
      <c r="E73" s="68" t="inlineStr">
        <is>
          <t>1. Bỏ SĐT vào luồng OTP
2. Vào app VTM
3. Nhập SĐT
4. Bấm Quên mật khẩu
5. Checklog Kibana: staging-cdcn-customer-service</t>
        </is>
      </c>
      <c r="F73" s="68" t="inlineStr">
        <is>
          <t>4.1 App call API cấp lại mật khẩu: /customer/v1/accounts/recover-pin-app
4.2. App show màn đổi mật khẩu</t>
        </is>
      </c>
      <c r="G73" s="72" t="n"/>
      <c r="H73" s="72" t="n"/>
      <c r="I73" s="72" t="n"/>
      <c r="J73" s="72" t="n"/>
      <c r="K73" s="72" t="n"/>
      <c r="L73" s="72" t="n"/>
      <c r="M73" s="73">
        <f>IF(OR(IF(I73="",IF(H73="",IF(G73="","",G73),H73),I73)="F", IF(L73="",IF(K73="",IF(J73="","",J73), K73),L73)="F")=TRUE,"F",
IF(OR(IF(I73="",IF(H73="",IF(G73="","",G73),H73),I73)="PE", IF(L73="",IF(K73="",IF(J73="","",J73), K73),L73)="PE")=TRUE,"PE",
IF(AND(IF(I73="",IF(H73="",IF(G73="","",G73),H73),I73)="", IF(L73="",IF(K73="",IF(J73="","",J73), K73),L73)="")=TRUE,"","P")))</f>
        <v/>
      </c>
      <c r="N73" s="74" t="n"/>
      <c r="O73" s="75" t="n"/>
    </row>
    <row r="74" ht="63" customFormat="1" customHeight="1" s="62">
      <c r="A74" s="81" t="n"/>
      <c r="B74" s="189" t="n"/>
      <c r="C74" s="189" t="n"/>
      <c r="D74" s="189" t="n"/>
      <c r="E74" s="68" t="inlineStr">
        <is>
          <t>6. Nhập PIN mới
7. Login lại app
8. Bấm vào avatar &gt;&gt; Quản lý nguồn tiền</t>
        </is>
      </c>
      <c r="F74" s="68" t="inlineStr">
        <is>
          <t>6.1. Đổi mật khẩu thành công
6.2. Gửi SMS: Bạn đã đổi mật khẩu thành công, mật khẩu mới là xxxx,…...
7. Login lại = mật khẩu mới thành công
8. Liên kết thẻ trước đó không hiển thị trên app</t>
        </is>
      </c>
      <c r="G74" s="72" t="n"/>
      <c r="H74" s="72" t="n"/>
      <c r="I74" s="72" t="n"/>
      <c r="J74" s="72" t="n"/>
      <c r="K74" s="72" t="n"/>
      <c r="L74" s="72" t="n"/>
      <c r="M74" s="73">
        <f>IF(OR(IF(I74="",IF(H74="",IF(G74="","",G74),H74),I74)="F", IF(L74="",IF(K74="",IF(J74="","",J74), K74),L74)="F")=TRUE,"F",
IF(OR(IF(I74="",IF(H74="",IF(G74="","",G74),H74),I74)="PE", IF(L74="",IF(K74="",IF(J74="","",J74), K74),L74)="PE")=TRUE,"PE",
IF(AND(IF(I74="",IF(H74="",IF(G74="","",G74),H74),I74)="", IF(L74="",IF(K74="",IF(J74="","",J74), K74),L74)="")=TRUE,"","P")))</f>
        <v/>
      </c>
      <c r="N74" s="74" t="n"/>
      <c r="O74" s="75" t="n"/>
    </row>
    <row r="75" ht="189" customFormat="1" customHeight="1" s="62">
      <c r="A75" s="81" t="n"/>
      <c r="B75" s="200" t="inlineStr">
        <is>
          <t>Kiểm tra chưa kích hoạt PIN</t>
        </is>
      </c>
      <c r="C75" s="196" t="inlineStr">
        <is>
          <t>Kiểm tra tài khoản vỏ pin, có liên kết thẻ</t>
        </is>
      </c>
      <c r="D75" s="196" t="inlineStr">
        <is>
          <t>1. DB cho vào luồng OTP:
SELECT * FROM cdcn_customer_service.global_config WHERE param_name='recover-pin.app.otp-msisdn-list'</t>
        </is>
      </c>
      <c r="E75" s="68" t="inlineStr">
        <is>
          <t>1. Bỏ SĐT vào luồng OTP
2. Vào app VTM
3. Nhập SĐT
4. Bấm Quên mật khẩu
5. Checklog Kibana: staging-cdcn-customer-service</t>
        </is>
      </c>
      <c r="F75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75" s="72" t="n"/>
      <c r="H75" s="72" t="n"/>
      <c r="I75" s="72" t="n"/>
      <c r="J75" s="72" t="n"/>
      <c r="K75" s="72" t="n"/>
      <c r="L75" s="72" t="n"/>
      <c r="M75" s="73">
        <f>IF(OR(IF(I75="",IF(H75="",IF(G75="","",G75),H75),I75)="F", IF(L75="",IF(K75="",IF(J75="","",J75), K75),L75)="F")=TRUE,"F",
IF(OR(IF(I75="",IF(H75="",IF(G75="","",G75),H75),I75)="PE", IF(L75="",IF(K75="",IF(J75="","",J75), K75),L75)="PE")=TRUE,"PE",
IF(AND(IF(I75="",IF(H75="",IF(G75="","",G75),H75),I75)="", IF(L75="",IF(K75="",IF(J75="","",J75), K75),L75)="")=TRUE,"","P")))</f>
        <v/>
      </c>
      <c r="N75" s="74" t="n"/>
      <c r="O75" s="75" t="n"/>
    </row>
    <row r="76" ht="63" customFormat="1" customHeight="1" s="62">
      <c r="A76" s="81" t="n"/>
      <c r="B76" s="188" t="n"/>
      <c r="C76" s="189" t="n"/>
      <c r="D76" s="189" t="n"/>
      <c r="E76" s="68" t="inlineStr">
        <is>
          <t>6. Nhập PIN mới
7. Login lại app
8. Bấm vào avatar &gt;&gt; Quản lý nguồn tiền</t>
        </is>
      </c>
      <c r="F76" s="68" t="inlineStr">
        <is>
          <t>6.1. Đổi mật khẩu thành công
6.2. Gửi SMS: Bạn đã đổi mật khẩu thành công, mật khẩu mới là xxxx,…...
7. Login lại = mật khẩu mới thành công
8. Liên kết thẻ trước đó không hiển thị trên app</t>
        </is>
      </c>
      <c r="G76" s="72" t="n"/>
      <c r="H76" s="72" t="n"/>
      <c r="I76" s="72" t="n"/>
      <c r="J76" s="72" t="n"/>
      <c r="K76" s="72" t="n"/>
      <c r="L76" s="72" t="n"/>
      <c r="M76" s="73">
        <f>IF(OR(IF(I76="",IF(H76="",IF(G76="","",G76),H76),I76)="F", IF(L76="",IF(K76="",IF(J76="","",J76), K76),L76)="F")=TRUE,"F",
IF(OR(IF(I76="",IF(H76="",IF(G76="","",G76),H76),I76)="PE", IF(L76="",IF(K76="",IF(J76="","",J76), K76),L76)="PE")=TRUE,"PE",
IF(AND(IF(I76="",IF(H76="",IF(G76="","",G76),H76),I76)="", IF(L76="",IF(K76="",IF(J76="","",J76), K76),L76)="")=TRUE,"","P")))</f>
        <v/>
      </c>
      <c r="N76" s="74" t="n"/>
      <c r="O76" s="75" t="n"/>
    </row>
    <row r="77" ht="189" customFormat="1" customHeight="1" s="62">
      <c r="A77" s="81" t="n"/>
      <c r="B77" s="188" t="n"/>
      <c r="C77" s="196" t="inlineStr">
        <is>
          <t>Kiểm tra tài khoản chỉ có VTP, có liên kết thẻ</t>
        </is>
      </c>
      <c r="D77" s="197" t="inlineStr">
        <is>
          <t>Liên kết thẻ:
- Napas: SaigonBank
- Trực tiếp: MB, BIDV, Vpbank
- Bán chéo
VTP gói -1, 24,26,23,20</t>
        </is>
      </c>
      <c r="E77" s="68" t="inlineStr">
        <is>
          <t>1. Bỏ SĐT vào luồng OTP
2. Vào app VTM
3. Nhập SĐT
4. Bấm Quên mật khẩu
5. Checklog Kibana: staging-cdcn-customer-service</t>
        </is>
      </c>
      <c r="F77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77" s="72" t="n"/>
      <c r="H77" s="72" t="n"/>
      <c r="I77" s="72" t="n"/>
      <c r="J77" s="72" t="n"/>
      <c r="K77" s="72" t="n"/>
      <c r="L77" s="72" t="n"/>
      <c r="M77" s="73">
        <f>IF(OR(IF(I77="",IF(H77="",IF(G77="","",G77),H77),I77)="F", IF(L77="",IF(K77="",IF(J77="","",J77), K77),L77)="F")=TRUE,"F",
IF(OR(IF(I77="",IF(H77="",IF(G77="","",G77),H77),I77)="PE", IF(L77="",IF(K77="",IF(J77="","",J77), K77),L77)="PE")=TRUE,"PE",
IF(AND(IF(I77="",IF(H77="",IF(G77="","",G77),H77),I77)="", IF(L77="",IF(K77="",IF(J77="","",J77), K77),L77)="")=TRUE,"","P")))</f>
        <v/>
      </c>
      <c r="N77" s="74" t="n"/>
      <c r="O77" s="75" t="n"/>
    </row>
    <row r="78" ht="63" customFormat="1" customHeight="1" s="62">
      <c r="A78" s="81" t="n"/>
      <c r="B78" s="188" t="n"/>
      <c r="C78" s="189" t="n"/>
      <c r="D78" s="189" t="n"/>
      <c r="E78" s="68" t="inlineStr">
        <is>
          <t>6. Nhập PIN mới
7. Login lại app
8. Bấm vào avatar &gt;&gt; Quản lý nguồn tiền</t>
        </is>
      </c>
      <c r="F78" s="68" t="inlineStr">
        <is>
          <t>6.1. Đổi mật khẩu thành công
6.2. Gửi SMS: Bạn đã đổi mật khẩu thành công, mật khẩu mới là xxxx,…...
7. Login lại = mật khẩu mới thành công
8. Liên kết thẻ trước đó không hiển thị trên app</t>
        </is>
      </c>
      <c r="G78" s="72" t="n"/>
      <c r="H78" s="72" t="n"/>
      <c r="I78" s="72" t="n"/>
      <c r="J78" s="72" t="n"/>
      <c r="K78" s="72" t="n"/>
      <c r="L78" s="72" t="n"/>
      <c r="M78" s="73">
        <f>IF(OR(IF(I78="",IF(H78="",IF(G78="","",G78),H78),I78)="F", IF(L78="",IF(K78="",IF(J78="","",J78), K78),L78)="F")=TRUE,"F",
IF(OR(IF(I78="",IF(H78="",IF(G78="","",G78),H78),I78)="PE", IF(L78="",IF(K78="",IF(J78="","",J78), K78),L78)="PE")=TRUE,"PE",
IF(AND(IF(I78="",IF(H78="",IF(G78="","",G78),H78),I78)="", IF(L78="",IF(K78="",IF(J78="","",J78), K78),L78)="")=TRUE,"","P")))</f>
        <v/>
      </c>
      <c r="N78" s="74" t="n"/>
      <c r="O78" s="75" t="n"/>
    </row>
    <row r="79" ht="189" customFormat="1" customHeight="1" s="62">
      <c r="A79" s="81" t="n"/>
      <c r="B79" s="188" t="n"/>
      <c r="C79" s="196" t="inlineStr">
        <is>
          <t>Kiểm tra tài khoản có VTT và MM, có liên kết thẻ</t>
        </is>
      </c>
      <c r="D79" s="197" t="inlineStr">
        <is>
          <t>VTT gói 20</t>
        </is>
      </c>
      <c r="E79" s="68" t="inlineStr">
        <is>
          <t>1. Bỏ SĐT vào luồng OTP
2. Vào app VTM
3. Nhập SĐT
4. Bấm Quên mật khẩu
5. Checklog Kibana: staging-cdcn-customer-service</t>
        </is>
      </c>
      <c r="F79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79" s="72" t="n"/>
      <c r="H79" s="72" t="n"/>
      <c r="I79" s="72" t="n"/>
      <c r="J79" s="72" t="n"/>
      <c r="K79" s="72" t="n"/>
      <c r="L79" s="72" t="n"/>
      <c r="M79" s="73">
        <f>IF(OR(IF(I79="",IF(H79="",IF(G79="","",G79),H79),I79)="F", IF(L79="",IF(K79="",IF(J79="","",J79), K79),L79)="F")=TRUE,"F",
IF(OR(IF(I79="",IF(H79="",IF(G79="","",G79),H79),I79)="PE", IF(L79="",IF(K79="",IF(J79="","",J79), K79),L79)="PE")=TRUE,"PE",
IF(AND(IF(I79="",IF(H79="",IF(G79="","",G79),H79),I79)="", IF(L79="",IF(K79="",IF(J79="","",J79), K79),L79)="")=TRUE,"","P")))</f>
        <v/>
      </c>
      <c r="N79" s="74" t="n"/>
      <c r="O79" s="75" t="n"/>
    </row>
    <row r="80" ht="63" customFormat="1" customHeight="1" s="62">
      <c r="A80" s="81" t="n"/>
      <c r="B80" s="188" t="n"/>
      <c r="C80" s="189" t="n"/>
      <c r="D80" s="189" t="n"/>
      <c r="E80" s="68" t="inlineStr">
        <is>
          <t>6. Nhập PIN mới
7. Login lại app
8. Bấm vào avatar &gt;&gt; Quản lý nguồn tiền</t>
        </is>
      </c>
      <c r="F80" s="68" t="inlineStr">
        <is>
          <t>6.1. Đổi mật khẩu thành công
6.2. Gửi SMS: Bạn đã đổi mật khẩu thành công, mật khẩu mới là xxxx,…...
7. Login lại = mật khẩu mới thành công
8. Liên kết thẻ trước đó không hiển thị trên app</t>
        </is>
      </c>
      <c r="G80" s="72" t="n"/>
      <c r="H80" s="72" t="n"/>
      <c r="I80" s="72" t="n"/>
      <c r="J80" s="72" t="n"/>
      <c r="K80" s="72" t="n"/>
      <c r="L80" s="72" t="n"/>
      <c r="M80" s="73">
        <f>IF(OR(IF(I80="",IF(H80="",IF(G80="","",G80),H80),I80)="F", IF(L80="",IF(K80="",IF(J80="","",J80), K80),L80)="F")=TRUE,"F",
IF(OR(IF(I80="",IF(H80="",IF(G80="","",G80),H80),I80)="PE", IF(L80="",IF(K80="",IF(J80="","",J80), K80),L80)="PE")=TRUE,"PE",
IF(AND(IF(I80="",IF(H80="",IF(G80="","",G80),H80),I80)="", IF(L80="",IF(K80="",IF(J80="","",J80), K80),L80)="")=TRUE,"","P")))</f>
        <v/>
      </c>
      <c r="N80" s="74" t="n"/>
      <c r="O80" s="75" t="n"/>
    </row>
    <row r="81" ht="94.5" customFormat="1" customHeight="1" s="62">
      <c r="A81" s="81" t="n"/>
      <c r="B81" s="188" t="n"/>
      <c r="C81" s="196" t="inlineStr">
        <is>
          <t>Kiểm tra tài khoản vỏ pin, không có liên kết thẻ</t>
        </is>
      </c>
      <c r="D81" s="196" t="n"/>
      <c r="E81" s="68" t="inlineStr">
        <is>
          <t>1. Bỏ SĐT vào luồng OTP
2. Vào app VTM
3. Nhập SĐT
4. Bấm Quên mật khẩu
5. Checklog Kibana: staging-cdcn-customer-service</t>
        </is>
      </c>
      <c r="F81" s="68" t="inlineStr">
        <is>
          <t>4.1 App call API cấp lại mật khẩu: /customer/v1/accounts/recover-pin-app
4.2. App show màn đổi mật khẩu</t>
        </is>
      </c>
      <c r="G81" s="72" t="n"/>
      <c r="H81" s="72" t="n"/>
      <c r="I81" s="72" t="n"/>
      <c r="J81" s="72" t="n"/>
      <c r="K81" s="72" t="n"/>
      <c r="L81" s="72" t="n"/>
      <c r="M81" s="73">
        <f>IF(OR(IF(I81="",IF(H81="",IF(G81="","",G81),H81),I81)="F", IF(L81="",IF(K81="",IF(J81="","",J81), K81),L81)="F")=TRUE,"F",
IF(OR(IF(I81="",IF(H81="",IF(G81="","",G81),H81),I81)="PE", IF(L81="",IF(K81="",IF(J81="","",J81), K81),L81)="PE")=TRUE,"PE",
IF(AND(IF(I81="",IF(H81="",IF(G81="","",G81),H81),I81)="", IF(L81="",IF(K81="",IF(J81="","",J81), K81),L81)="")=TRUE,"","P")))</f>
        <v/>
      </c>
      <c r="N81" s="74" t="n"/>
      <c r="O81" s="75" t="n"/>
    </row>
    <row r="82" ht="63" customFormat="1" customHeight="1" s="62">
      <c r="A82" s="81" t="n"/>
      <c r="B82" s="188" t="n"/>
      <c r="C82" s="189" t="n"/>
      <c r="D82" s="189" t="n"/>
      <c r="E82" s="68" t="inlineStr">
        <is>
          <t>6. Nhập PIN mới
7. Login lại app
8. Bấm vào avatar &gt;&gt; Quản lý nguồn tiền</t>
        </is>
      </c>
      <c r="F82" s="68" t="inlineStr">
        <is>
          <t>6.1. Đổi mật khẩu thành công
6.2. Gửi SMS: Bạn đã đổi mật khẩu thành công, mật khẩu mới là xxxx,…...
7. Login lại = mật khẩu mới thành công
8. Liên kết thẻ trước đó không hiển thị trên app</t>
        </is>
      </c>
      <c r="G82" s="72" t="n"/>
      <c r="H82" s="72" t="n"/>
      <c r="I82" s="72" t="n"/>
      <c r="J82" s="72" t="n"/>
      <c r="K82" s="72" t="n"/>
      <c r="L82" s="72" t="n"/>
      <c r="M82" s="73">
        <f>IF(OR(IF(I82="",IF(H82="",IF(G82="","",G82),H82),I82)="F", IF(L82="",IF(K82="",IF(J82="","",J82), K82),L82)="F")=TRUE,"F",
IF(OR(IF(I82="",IF(H82="",IF(G82="","",G82),H82),I82)="PE", IF(L82="",IF(K82="",IF(J82="","",J82), K82),L82)="PE")=TRUE,"PE",
IF(AND(IF(I82="",IF(H82="",IF(G82="","",G82),H82),I82)="", IF(L82="",IF(K82="",IF(J82="","",J82), K82),L82)="")=TRUE,"","P")))</f>
        <v/>
      </c>
      <c r="N82" s="74" t="n"/>
      <c r="O82" s="75" t="n"/>
    </row>
    <row r="83" ht="94.5" customFormat="1" customHeight="1" s="62">
      <c r="A83" s="81" t="n"/>
      <c r="B83" s="188" t="n"/>
      <c r="C83" s="196" t="inlineStr">
        <is>
          <t>Kiểm tra tài khoản chỉ có VTP, không có liên kết thẻ</t>
        </is>
      </c>
      <c r="D83" s="196" t="inlineStr">
        <is>
          <t>VTP gói -1, 24,26,23,20</t>
        </is>
      </c>
      <c r="E83" s="68" t="inlineStr">
        <is>
          <t>1. Bỏ SĐT vào luồng OTP
2. Vào app VTM
3. Nhập SĐT
4. Bấm Quên mật khẩu
5. Checklog Kibana: staging-cdcn-customer-service</t>
        </is>
      </c>
      <c r="F83" s="68" t="inlineStr">
        <is>
          <t>4.1 App call API cấp lại mật khẩu: /customer/v1/accounts/recover-pin-app
4.2. App show màn đổi mật khẩu</t>
        </is>
      </c>
      <c r="G83" s="72" t="n"/>
      <c r="H83" s="72" t="n"/>
      <c r="I83" s="72" t="n"/>
      <c r="J83" s="72" t="n"/>
      <c r="K83" s="72" t="n"/>
      <c r="L83" s="72" t="n"/>
      <c r="M83" s="73">
        <f>IF(OR(IF(I83="",IF(H83="",IF(G83="","",G83),H83),I83)="F", IF(L83="",IF(K83="",IF(J83="","",J83), K83),L83)="F")=TRUE,"F",
IF(OR(IF(I83="",IF(H83="",IF(G83="","",G83),H83),I83)="PE", IF(L83="",IF(K83="",IF(J83="","",J83), K83),L83)="PE")=TRUE,"PE",
IF(AND(IF(I83="",IF(H83="",IF(G83="","",G83),H83),I83)="", IF(L83="",IF(K83="",IF(J83="","",J83), K83),L83)="")=TRUE,"","P")))</f>
        <v/>
      </c>
      <c r="N83" s="74" t="n"/>
      <c r="O83" s="75" t="n"/>
    </row>
    <row r="84" ht="63" customFormat="1" customHeight="1" s="62">
      <c r="A84" s="81" t="n"/>
      <c r="B84" s="188" t="n"/>
      <c r="C84" s="189" t="n"/>
      <c r="D84" s="189" t="n"/>
      <c r="E84" s="68" t="inlineStr">
        <is>
          <t>6. Nhập PIN mới
7. Login lại app
8. Bấm vào avatar &gt;&gt; Quản lý nguồn tiền</t>
        </is>
      </c>
      <c r="F84" s="68" t="inlineStr">
        <is>
          <t>6.1. Đổi mật khẩu thành công
6.2. Gửi SMS: Bạn đã đổi mật khẩu thành công, mật khẩu mới là xxxx,…...
7. Login lại = mật khẩu mới thành công
8. Liên kết thẻ trước đó không hiển thị trên app</t>
        </is>
      </c>
      <c r="G84" s="72" t="n"/>
      <c r="H84" s="72" t="n"/>
      <c r="I84" s="72" t="n"/>
      <c r="J84" s="72" t="n"/>
      <c r="K84" s="72" t="n"/>
      <c r="L84" s="72" t="n"/>
      <c r="M84" s="73">
        <f>IF(OR(IF(I84="",IF(H84="",IF(G84="","",G84),H84),I84)="F", IF(L84="",IF(K84="",IF(J84="","",J84), K84),L84)="F")=TRUE,"F",
IF(OR(IF(I84="",IF(H84="",IF(G84="","",G84),H84),I84)="PE", IF(L84="",IF(K84="",IF(J84="","",J84), K84),L84)="PE")=TRUE,"PE",
IF(AND(IF(I84="",IF(H84="",IF(G84="","",G84),H84),I84)="", IF(L84="",IF(K84="",IF(J84="","",J84), K84),L84)="")=TRUE,"","P")))</f>
        <v/>
      </c>
      <c r="N84" s="74" t="n"/>
      <c r="O84" s="75" t="n"/>
    </row>
    <row r="85" ht="94.5" customFormat="1" customHeight="1" s="62">
      <c r="A85" s="81" t="n"/>
      <c r="B85" s="188" t="n"/>
      <c r="C85" s="196" t="inlineStr">
        <is>
          <t>Kiểm tra tài khoản có VTT và MM, không có liên kết thẻ</t>
        </is>
      </c>
      <c r="D85" s="196" t="inlineStr">
        <is>
          <t>VTP gói 20</t>
        </is>
      </c>
      <c r="E85" s="68" t="inlineStr">
        <is>
          <t>1. Bỏ SĐT vào luồng OTP
2. Vào app VTM
3. Nhập SĐT
4. Bấm Quên mật khẩu
5. Checklog Kibana: staging-cdcn-customer-service</t>
        </is>
      </c>
      <c r="F85" s="68" t="inlineStr">
        <is>
          <t>4.1 App call API cấp lại mật khẩu: /customer/v1/accounts/recover-pin-app
4.2. App show màn đổi mật khẩu</t>
        </is>
      </c>
      <c r="G85" s="72" t="n"/>
      <c r="H85" s="72" t="n"/>
      <c r="I85" s="72" t="n"/>
      <c r="J85" s="72" t="n"/>
      <c r="K85" s="72" t="n"/>
      <c r="L85" s="72" t="n"/>
      <c r="M85" s="73">
        <f>IF(OR(IF(I85="",IF(H85="",IF(G85="","",G85),H85),I85)="F", IF(L85="",IF(K85="",IF(J85="","",J85), K85),L85)="F")=TRUE,"F",
IF(OR(IF(I85="",IF(H85="",IF(G85="","",G85),H85),I85)="PE", IF(L85="",IF(K85="",IF(J85="","",J85), K85),L85)="PE")=TRUE,"PE",
IF(AND(IF(I85="",IF(H85="",IF(G85="","",G85),H85),I85)="", IF(L85="",IF(K85="",IF(J85="","",J85), K85),L85)="")=TRUE,"","P")))</f>
        <v/>
      </c>
      <c r="N85" s="74" t="n"/>
      <c r="O85" s="75" t="n"/>
    </row>
    <row r="86" ht="63" customFormat="1" customHeight="1" s="62">
      <c r="A86" s="81" t="n"/>
      <c r="B86" s="189" t="n"/>
      <c r="C86" s="189" t="n"/>
      <c r="D86" s="189" t="n"/>
      <c r="E86" s="68" t="inlineStr">
        <is>
          <t>6. Nhập PIN mới
7. Login lại app
8. Bấm vào avatar &gt;&gt; Quản lý nguồn tiền</t>
        </is>
      </c>
      <c r="F86" s="68" t="inlineStr">
        <is>
          <t>6.1. Đổi mật khẩu thành công
6.2. Gửi SMS: Bạn đã đổi mật khẩu thành công, mật khẩu mới là xxxx,…...
7. Login lại = mật khẩu mới thành công
8. Liên kết thẻ trước đó không hiển thị trên app</t>
        </is>
      </c>
      <c r="G86" s="72" t="n"/>
      <c r="H86" s="72" t="n"/>
      <c r="I86" s="72" t="n"/>
      <c r="J86" s="72" t="n"/>
      <c r="K86" s="72" t="n"/>
      <c r="L86" s="72" t="n"/>
      <c r="M86" s="73">
        <f>IF(OR(IF(I86="",IF(H86="",IF(G86="","",G86),H86),I86)="F", IF(L86="",IF(K86="",IF(J86="","",J86), K86),L86)="F")=TRUE,"F",
IF(OR(IF(I86="",IF(H86="",IF(G86="","",G86),H86),I86)="PE", IF(L86="",IF(K86="",IF(J86="","",J86), K86),L86)="PE")=TRUE,"PE",
IF(AND(IF(I86="",IF(H86="",IF(G86="","",G86),H86),I86)="", IF(L86="",IF(K86="",IF(J86="","",J86), K86),L86)="")=TRUE,"","P")))</f>
        <v/>
      </c>
      <c r="N86" s="74" t="n"/>
      <c r="O86" s="75" t="n"/>
    </row>
    <row r="87" customFormat="1" s="79">
      <c r="A87" s="78" t="n"/>
      <c r="B87" s="80" t="inlineStr">
        <is>
          <t>Suite-2: Kiểm tra tài khoản chỉ có nguồn MM</t>
        </is>
      </c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</row>
    <row r="88" ht="189" customHeight="1">
      <c r="A88" s="151" t="n"/>
      <c r="B88" s="152" t="inlineStr">
        <is>
          <t>Kiểm tra tài khoản có thẻ liên kết</t>
        </is>
      </c>
      <c r="C88" s="151" t="n"/>
      <c r="D88" s="151" t="n"/>
      <c r="E88" s="68" t="inlineStr">
        <is>
          <t>1. Bỏ SĐT vào luồng OTP
2. Vào app VTM
3. Nhập SĐT
4. Bấm Quên mật khẩu
5. Checklog Kibana: staging-cdcn-customer-service</t>
        </is>
      </c>
      <c r="F88" s="68" t="inlineStr">
        <is>
          <t>4.1 App call API cấp lại mật khẩu: /customer/v1/accounts/recover-pin-app
4.2. App show màn đổi mật khẩu
4.3. Huỷ liên kết thẻ:
- Push Kafka topic: CANCEL_VM_LINK_TOPIC để hủy
- Update DB BANKPLUS: 
   + NAPAS_TOKEN:  update status = 3
   + LINK_BANK_TOKEN: update status = 3
   + EBANKING_SOURCE: update status = 3
   + MOBILE_MONEY_SRC: update SRC_STATUS = 3
- Update bảng SOURCE_LINKED DB: update status = 3
- Push kafka topic CANCEL_LINKED_SOURCE để lưu các thuê bao chỉ hủy liên kết tại VT, chưa hủy bên bank</t>
        </is>
      </c>
      <c r="G88" s="72" t="n"/>
      <c r="H88" s="72" t="n"/>
      <c r="I88" s="72" t="n"/>
      <c r="J88" s="72" t="n"/>
      <c r="K88" s="72" t="n"/>
      <c r="L88" s="72" t="n"/>
      <c r="M88" s="73">
        <f>IF(OR(IF(I88="",IF(H88="",IF(G88="","",G88),H88),I88)="F", IF(L88="",IF(K88="",IF(J88="","",J88), K88),L88)="F")=TRUE,"F",
IF(OR(IF(I88="",IF(H88="",IF(G88="","",G88),H88),I88)="PE", IF(L88="",IF(K88="",IF(J88="","",J88), K88),L88)="PE")=TRUE,"PE",
IF(AND(IF(I88="",IF(H88="",IF(G88="","",G88),H88),I88)="", IF(L88="",IF(K88="",IF(J88="","",J88), K88),L88)="")=TRUE,"","P")))</f>
        <v/>
      </c>
      <c r="N88" s="74" t="n"/>
      <c r="O88" s="75" t="n"/>
    </row>
    <row r="89" ht="63" customHeight="1">
      <c r="A89" s="190" t="n"/>
      <c r="B89" s="190" t="n"/>
      <c r="C89" s="190" t="n"/>
      <c r="D89" s="190" t="n"/>
      <c r="E89" s="68" t="inlineStr">
        <is>
          <t>6. Nhập PIN mới
7. Login lại app
8. Bấm vào avatar &gt;&gt; Quản lý nguồn tiền</t>
        </is>
      </c>
      <c r="F89" s="68" t="inlineStr">
        <is>
          <t>6.1. Đổi mật khẩu thành công
6.2. Gửi SMS: Bạn đã đổi mật khẩu thành công, mật khẩu mới là xxxx,…...
7. Login lại = mật khẩu mới thành công
8. Liên kết thẻ trước đó không hiển thị trên app</t>
        </is>
      </c>
      <c r="G89" s="72" t="n"/>
      <c r="H89" s="72" t="n"/>
      <c r="I89" s="72" t="n"/>
      <c r="J89" s="72" t="n"/>
      <c r="K89" s="72" t="n"/>
      <c r="L89" s="72" t="n"/>
      <c r="M89" s="73">
        <f>IF(OR(IF(I89="",IF(H89="",IF(G89="","",G89),H89),I89)="F", IF(L89="",IF(K89="",IF(J89="","",J89), K89),L89)="F")=TRUE,"F",
IF(OR(IF(I89="",IF(H89="",IF(G89="","",G89),H89),I89)="PE", IF(L89="",IF(K89="",IF(J89="","",J89), K89),L89)="PE")=TRUE,"PE",
IF(AND(IF(I89="",IF(H89="",IF(G89="","",G89),H89),I89)="", IF(L89="",IF(K89="",IF(J89="","",J89), K89),L89)="")=TRUE,"","P")))</f>
        <v/>
      </c>
      <c r="N89" s="74" t="n"/>
      <c r="O89" s="75" t="n"/>
    </row>
    <row r="90" ht="94.5" customHeight="1">
      <c r="A90" s="151" t="n"/>
      <c r="B90" s="152" t="inlineStr">
        <is>
          <t>Kiểm tra tài khoản không có thẻ liên kết</t>
        </is>
      </c>
      <c r="C90" s="151" t="n"/>
      <c r="D90" s="151" t="n"/>
      <c r="E90" s="68" t="inlineStr">
        <is>
          <t>1. Bỏ SĐT vào luồng OTP
2. Vào app VTM
3. Nhập SĐT
4. Bấm Quên mật khẩu
5. Checklog Kibana: staging-cdcn-customer-service</t>
        </is>
      </c>
      <c r="F90" s="68" t="inlineStr">
        <is>
          <t>4.1 App call API cấp lại mật khẩu: /customer/v1/accounts/recover-pin-app
4.2. App show màn đổi mật khẩu</t>
        </is>
      </c>
      <c r="G90" s="72" t="n"/>
      <c r="H90" s="72" t="n"/>
      <c r="I90" s="72" t="n"/>
      <c r="J90" s="72" t="n"/>
      <c r="K90" s="72" t="n"/>
      <c r="L90" s="72" t="n"/>
      <c r="M90" s="73">
        <f>IF(OR(IF(I90="",IF(H90="",IF(G90="","",G90),H90),I90)="F", IF(L90="",IF(K90="",IF(J90="","",J90), K90),L90)="F")=TRUE,"F",
IF(OR(IF(I90="",IF(H90="",IF(G90="","",G90),H90),I90)="PE", IF(L90="",IF(K90="",IF(J90="","",J90), K90),L90)="PE")=TRUE,"PE",
IF(AND(IF(I90="",IF(H90="",IF(G90="","",G90),H90),I90)="", IF(L90="",IF(K90="",IF(J90="","",J90), K90),L90)="")=TRUE,"","P")))</f>
        <v/>
      </c>
      <c r="N90" s="74" t="n"/>
      <c r="O90" s="75" t="n"/>
    </row>
    <row r="91" ht="63" customHeight="1">
      <c r="A91" s="190" t="n"/>
      <c r="B91" s="190" t="n"/>
      <c r="C91" s="190" t="n"/>
      <c r="D91" s="190" t="n"/>
      <c r="E91" s="68" t="inlineStr">
        <is>
          <t>6. Nhập PIN mới
7. Login lại app
8. Bấm vào avatar &gt;&gt; Quản lý nguồn tiền</t>
        </is>
      </c>
      <c r="F91" s="68" t="inlineStr">
        <is>
          <t>6.1. Đổi mật khẩu thành công
6.2. Gửi SMS: Bạn đã đổi mật khẩu thành công, mật khẩu mới là xxxx,…...
7. Login lại = mật khẩu mới thành công
8. Liên kết thẻ trước đó không hiển thị trên app</t>
        </is>
      </c>
      <c r="G91" s="72" t="n"/>
      <c r="H91" s="72" t="n"/>
      <c r="I91" s="72" t="n"/>
      <c r="J91" s="72" t="n"/>
      <c r="K91" s="72" t="n"/>
      <c r="L91" s="72" t="n"/>
      <c r="M91" s="73">
        <f>IF(OR(IF(I91="",IF(H91="",IF(G91="","",G91),H91),I91)="F", IF(L91="",IF(K91="",IF(J91="","",J91), K91),L91)="F")=TRUE,"F",
IF(OR(IF(I91="",IF(H91="",IF(G91="","",G91),H91),I91)="PE", IF(L91="",IF(K91="",IF(J91="","",J91), K91),L91)="PE")=TRUE,"PE",
IF(AND(IF(I91="",IF(H91="",IF(G91="","",G91),H91),I91)="", IF(L91="",IF(K91="",IF(J91="","",J91), K91),L91)="")=TRUE,"","P")))</f>
        <v/>
      </c>
      <c r="N91" s="74" t="n"/>
      <c r="O91" s="75" t="n"/>
    </row>
  </sheetData>
  <mergeCells count="83">
    <mergeCell ref="C79:C80"/>
    <mergeCell ref="G13:I13"/>
    <mergeCell ref="C29:C30"/>
    <mergeCell ref="D52:D53"/>
    <mergeCell ref="D21:D22"/>
    <mergeCell ref="C63:C64"/>
    <mergeCell ref="B63:B74"/>
    <mergeCell ref="C71:C72"/>
    <mergeCell ref="B13:B14"/>
    <mergeCell ref="D13:D14"/>
    <mergeCell ref="F13:F14"/>
    <mergeCell ref="D71:D72"/>
    <mergeCell ref="C27:C28"/>
    <mergeCell ref="D73:D74"/>
    <mergeCell ref="D54:D55"/>
    <mergeCell ref="D63:D64"/>
    <mergeCell ref="C69:C70"/>
    <mergeCell ref="J13:L13"/>
    <mergeCell ref="D40:D41"/>
    <mergeCell ref="D27:D28"/>
    <mergeCell ref="A88:A89"/>
    <mergeCell ref="B90:B91"/>
    <mergeCell ref="E13:E14"/>
    <mergeCell ref="D77:D78"/>
    <mergeCell ref="C85:C86"/>
    <mergeCell ref="C54:C55"/>
    <mergeCell ref="A90:A91"/>
    <mergeCell ref="C65:C66"/>
    <mergeCell ref="D75:D76"/>
    <mergeCell ref="M13:M14"/>
    <mergeCell ref="C31:C32"/>
    <mergeCell ref="C46:C47"/>
    <mergeCell ref="C40:C41"/>
    <mergeCell ref="N13:N14"/>
    <mergeCell ref="D25:D26"/>
    <mergeCell ref="C19:C20"/>
    <mergeCell ref="D79:D80"/>
    <mergeCell ref="D88:D89"/>
    <mergeCell ref="D23:D24"/>
    <mergeCell ref="C83:C84"/>
    <mergeCell ref="D81:D82"/>
    <mergeCell ref="D90:D91"/>
    <mergeCell ref="D65:D66"/>
    <mergeCell ref="C73:C74"/>
    <mergeCell ref="B62:F62"/>
    <mergeCell ref="C42:C43"/>
    <mergeCell ref="C50:C51"/>
    <mergeCell ref="C44:C45"/>
    <mergeCell ref="B40:B55"/>
    <mergeCell ref="B75:B86"/>
    <mergeCell ref="C21:C22"/>
    <mergeCell ref="B1:F1"/>
    <mergeCell ref="C23:C24"/>
    <mergeCell ref="A13:A14"/>
    <mergeCell ref="D83:D84"/>
    <mergeCell ref="D42:D43"/>
    <mergeCell ref="C48:C49"/>
    <mergeCell ref="D29:D30"/>
    <mergeCell ref="D85:D86"/>
    <mergeCell ref="D31:D32"/>
    <mergeCell ref="C77:C78"/>
    <mergeCell ref="B35:B38"/>
    <mergeCell ref="C33:C34"/>
    <mergeCell ref="D46:D47"/>
    <mergeCell ref="C88:C89"/>
    <mergeCell ref="C75:C76"/>
    <mergeCell ref="D48:D49"/>
    <mergeCell ref="B88:B89"/>
    <mergeCell ref="C25:C26"/>
    <mergeCell ref="C90:C91"/>
    <mergeCell ref="B56:B58"/>
    <mergeCell ref="C52:C53"/>
    <mergeCell ref="C67:C68"/>
    <mergeCell ref="D33:D34"/>
    <mergeCell ref="B19:B34"/>
    <mergeCell ref="C81:C82"/>
    <mergeCell ref="D67:D68"/>
    <mergeCell ref="C13:C14"/>
    <mergeCell ref="D19:D20"/>
    <mergeCell ref="O13:O14"/>
    <mergeCell ref="D69:D70"/>
    <mergeCell ref="D50:D51"/>
    <mergeCell ref="D44:D45"/>
  </mergeCells>
  <conditionalFormatting sqref="M19:M38">
    <cfRule type="cellIs" priority="163" operator="equal" stopIfTrue="1">
      <formula>"P"</formula>
    </cfRule>
    <cfRule type="cellIs" priority="164" operator="equal" dxfId="1" stopIfTrue="1">
      <formula>"F"</formula>
    </cfRule>
    <cfRule type="cellIs" priority="165" operator="equal" dxfId="0" stopIfTrue="1">
      <formula>"PE"</formula>
    </cfRule>
  </conditionalFormatting>
  <conditionalFormatting sqref="M40:M58">
    <cfRule type="cellIs" priority="49" operator="equal" stopIfTrue="1">
      <formula>"P"</formula>
    </cfRule>
    <cfRule type="cellIs" priority="50" operator="equal" dxfId="1" stopIfTrue="1">
      <formula>"F"</formula>
    </cfRule>
    <cfRule type="cellIs" priority="51" operator="equal" dxfId="0" stopIfTrue="1">
      <formula>"PE"</formula>
    </cfRule>
  </conditionalFormatting>
  <conditionalFormatting sqref="M61:M86">
    <cfRule type="cellIs" priority="16" operator="equal" stopIfTrue="1">
      <formula>"P"</formula>
    </cfRule>
    <cfRule type="cellIs" priority="17" operator="equal" dxfId="1" stopIfTrue="1">
      <formula>"F"</formula>
    </cfRule>
    <cfRule type="cellIs" priority="18" operator="equal" dxfId="0" stopIfTrue="1">
      <formula>"PE"</formula>
    </cfRule>
  </conditionalFormatting>
  <conditionalFormatting sqref="M88:M91">
    <cfRule type="cellIs" priority="1" operator="equal" stopIfTrue="1">
      <formula>"P"</formula>
    </cfRule>
    <cfRule type="cellIs" priority="2" operator="equal" dxfId="1" stopIfTrue="1">
      <formula>"F"</formula>
    </cfRule>
    <cfRule type="cellIs" priority="3" operator="equal" dxfId="0" stopIfTrue="1">
      <formula>"PE"</formula>
    </cfRule>
  </conditionalFormatting>
  <dataValidations count="1">
    <dataValidation sqref="G1:L12 G19:L38 G40:L58 G61:L66 G67:H69 G70:L86 G88:L91 IV1:JA12 IV19:JA38 IV40:JA58 IV61:JA66 IV70:JA86 JC1:JH12 SR1:SW12 SR19:SW38 SR40:SW58 SR61:SW66 SR70:SW86 SY1:TD12 ACN1:ACS12 ACN19:ACS38 ACN40:ACS58 ACN61:ACS66 ACN70:ACS86 ACU1:ACZ12 AMJ1:AMO12 AMJ19:AMO38 AMJ40:AMO58 AMJ61:AMO66 AMJ70:AMO86 AMQ1:AMV12 AWF1:AWK12 AWF19:AWK38 AWF40:AWK58 AWF61:AWK66 AWF70:AWK86 AWM1:AWR12 BGB1:BGG12 BGB19:BGG38 BGB40:BGG58 BGB61:BGG66 BGB70:BGG86 BGI1:BGN12 BPX1:BQC12 BPX19:BQC38 BPX40:BQC58 BPX61:BQC66 BPX70:BQC86 BQE1:BQJ12 BZT1:BZY12 BZT19:BZY38 BZT40:BZY58 BZT61:BZY66 BZT70:BZY86 CAA1:CAF12 CJP1:CJU12 CJP19:CJU38 CJP40:CJU58 CJP61:CJU66 CJP70:CJU86 CJW1:CKB12 CTL1:CTQ12 CTL19:CTQ38 CTL40:CTQ58 CTL61:CTQ66 CTL70:CTQ86 CTS1:CTX12 DDH1:DDM12 DDH19:DDM38 DDH40:DDM58 DDH61:DDM66 DDH70:DDM86 DDO1:DDT12 DND1:DNI12 DND19:DNI38 DND40:DNI58 DND61:DNI66 DND70:DNI86 DNK1:DNP12 DWZ1:DXE12 DWZ19:DXE38 DWZ40:DXE58 DWZ61:DXE66 DWZ70:DXE86 DXG1:DXL12 EGV1:EHA12 EGV19:EHA38 EGV40:EHA58 EGV61:EHA66 EGV70:EHA86 EHC1:EHH12 EQR1:EQW12 EQR19:EQW38 EQR40:EQW58 EQR61:EQW66 EQR70:EQW86 EQY1:ERD12 FAN1:FAS12 FAN19:FAS38 FAN40:FAS58 FAN61:FAS66 FAN70:FAS86 FAU1:FAZ12 FKJ1:FKO12 FKJ19:FKO38 FKJ40:FKO58 FKJ61:FKO66 FKJ70:FKO86 FKQ1:FKV12 FUF1:FUK12 FUF19:FUK38 FUF40:FUK58 FUF61:FUK66 FUF70:FUK86 FUM1:FUR12 GEB1:GEG12 GEB19:GEG38 GEB40:GEG58 GEB61:GEG66 GEB70:GEG86 GEI1:GEN12 GNX1:GOC12 GNX19:GOC38 GNX40:GOC58 GNX61:GOC66 GNX70:GOC86 GOE1:GOJ12 GXT1:GXY12 GXT19:GXY38 GXT40:GXY58 GXT61:GXY66 GXT70:GXY86 GYA1:GYF12 HHP1:HHU12 HHP19:HHU38 HHP40:HHU58 HHP61:HHU66 HHP70:HHU86 HHW1:HIB12 HRL1:HRQ12 HRL19:HRQ38 HRL40:HRQ58 HRL61:HRQ66 HRL70:HRQ86 HRS1:HRX12 IBH1:IBM12 IBH19:IBM38 IBH40:IBM58 IBH61:IBM66 IBH70:IBM86 IBO1:IBT12 ILD1:ILI12 ILD19:ILI38 ILD40:ILI58 ILD61:ILI66 ILD70:ILI86 ILK1:ILP12 IUZ1:IVE12 IUZ19:IVE38 IUZ40:IVE58 IUZ61:IVE66 IUZ70:IVE86 IVG1:IVL12 JEV1:JFA12 JEV19:JFA38 JEV40:JFA58 JEV61:JFA66 JEV70:JFA86 JFC1:JFH12 JOR1:JOW12 JOR19:JOW38 JOR40:JOW58 JOR61:JOW66 JOR70:JOW86 JOY1:JPD12 JYN1:JYS12 JYN19:JYS38 JYN40:JYS58 JYN61:JYS66 JYN70:JYS86 JYU1:JYZ12 KIJ1:KIO12 KIJ19:KIO38 KIJ40:KIO58 KIJ61:KIO66 KIJ70:KIO86 KIQ1:KIV12 KSF1:KSK12 KSF19:KSK38 KSF40:KSK58 KSF61:KSK66 KSF70:KSK86 KSM1:KSR12 LCB1:LCG12 LCB19:LCG38 LCB40:LCG58 LCB61:LCG66 LCB70:LCG86 LCI1:LCN12 LLX1:LMC12 LLX19:LMC38 LLX40:LMC58 LLX61:LMC66 LLX70:LMC86 LME1:LMJ12 LVT1:LVY12 LVT19:LVY38 LVT40:LVY58 LVT61:LVY66 LVT70:LVY86 LWA1:LWF12 MFP1:MFU12 MFP19:MFU38 MFP40:MFU58 MFP61:MFU66 MFP70:MFU86 MFW1:MGB12 MPL1:MPQ12 MPL19:MPQ38 MPL40:MPQ58 MPL61:MPQ66 MPL70:MPQ86 MPS1:MPX12 MZH1:MZM12 MZH19:MZM38 MZH40:MZM58 MZH61:MZM66 MZH70:MZM86 MZO1:MZT12 NJD1:NJI12 NJD19:NJI38 NJD40:NJI58 NJD61:NJI66 NJD70:NJI86 NJK1:NJP12 NSZ1:NTE12 NSZ19:NTE38 NSZ40:NTE58 NSZ61:NTE66 NSZ70:NTE86 NTG1:NTL12 OCV1:ODA12 OCV19:ODA38 OCV40:ODA58 OCV61:ODA66 OCV70:ODA86 ODC1:ODH12 OMR1:OMW12 OMR19:OMW38 OMR40:OMW58 OMR61:OMW66 OMR70:OMW86 OMY1:OND12 OWN1:OWS12 OWN19:OWS38 OWN40:OWS58 OWN61:OWS66 OWN70:OWS86 OWU1:OWZ12 PGJ1:PGO12 PGJ19:PGO38 PGJ40:PGO58 PGJ61:PGO66 PGJ70:PGO86 PGQ1:PGV12 PQF1:PQK12 PQF19:PQK38 PQF40:PQK58 PQF61:PQK66 PQF70:PQK86 PQM1:PQR12 QAB1:QAG12 QAB19:QAG38 QAB40:QAG58 QAB61:QAG66 QAB70:QAG86 QAI1:QAN12 QJX1:QKC12 QJX19:QKC38 QJX40:QKC58 QJX61:QKC66 QJX70:QKC86 QKE1:QKJ12 QTT1:QTY12 QTT19:QTY38 QTT40:QTY58 QTT61:QTY66 QTT70:QTY86 QUA1:QUF12 RDP1:RDU12 RDP19:RDU38 RDP40:RDU58 RDP61:RDU66 RDP70:RDU86 RDW1:REB12 RNL1:RNQ12 RNL19:RNQ38 RNL40:RNQ58 RNL61:RNQ66 RNL70:RNQ86 RNS1:RNX12 RXH1:RXM12 RXH19:RXM38 RXH40:RXM58 RXH61:RXM66 RXH70:RXM86 RXO1:RXT12 SHD1:SHI12 SHD19:SHI38 SHD40:SHI58 SHD61:SHI66 SHD70:SHI86 SHK1:SHP12 SQZ1:SRE12 SQZ19:SRE38 SQZ40:SRE58 SQZ61:SRE66 SQZ70:SRE86 SRG1:SRL12 TAV1:TBA12 TAV19:TBA38 TAV40:TBA58 TAV61:TBA66 TAV70:TBA86 TBC1:TBH12 TKR1:TKW12 TKR19:TKW38 TKR40:TKW58 TKR61:TKW66 TKR70:TKW86 TKY1:TLD12 TUN1:TUS12 TUN19:TUS38 TUN40:TUS58 TUN61:TUS66 TUN70:TUS86 TUU1:TUZ12 UEJ1:UEO12 UEJ19:UEO38 UEJ40:UEO58 UEJ61:UEO66 UEJ70:UEO86 UEQ1:UEV12 UOF1:UOK12 UOF19:UOK38 UOF40:UOK58 UOF61:UOK66 UOF70:UOK86 UOM1:UOR12 UYB1:UYG12 UYB19:UYG38 UYB40:UYG58 UYB61:UYG66 UYB70:UYG86 UYI1:UYN12 VHX1:VIC12 VHX19:VIC38 VHX40:VIC58 VHX61:VIC66 VHX70:VIC86 VIE1:VIJ12 VRT1:VRY12 VRT19:VRY38 VRT40:VRY58 VRT61:VRY66 VRT70:VRY86 VSA1:VSF12 WBP1:WBU12 WBP19:WBU38 WBP40:WBU58 WBP61:WBU66 WBP70:WBU86 WBW1:WCB12 WLL1:WLQ12 WLL19:WLQ38 WLL40:WLQ58 WLL61:WLQ66 WLL70:WLQ86 WLS1:WLX12 WVH1:WVM12 WVH19:WVM38 WVH40:WVM58 WVH61:WVM66 WVH70:WVM86 WVO1:WVT12" showDropDown="0" showInputMessage="1" showErrorMessage="1" allowBlank="1" type="list">
      <formula1>"P,F,PE"</formula1>
    </dataValidation>
  </dataValidations>
  <pageMargins left="0.7" right="0.7" top="0.75" bottom="0.75" header="0.3" footer="0.3"/>
  <pageSetup orientation="portrait" horizontalDpi="200" verticalDpi="2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tabSelected="1" zoomScale="84" zoomScaleNormal="84" workbookViewId="0">
      <selection activeCell="B15" sqref="B15"/>
    </sheetView>
  </sheetViews>
  <sheetFormatPr baseColWidth="8" defaultRowHeight="12.75"/>
  <cols>
    <col width="20.140625" customWidth="1" style="110" min="1" max="1"/>
    <col width="14" customWidth="1" style="110" min="2" max="2"/>
    <col width="37.42578125" customWidth="1" style="110" min="3" max="3"/>
    <col width="25.7109375" customWidth="1" style="110" min="4" max="4"/>
    <col width="44.85546875" customWidth="1" style="110" min="5" max="5"/>
    <col width="45.42578125" customWidth="1" style="110" min="6" max="6"/>
    <col width="13.5703125" customWidth="1" style="110" min="7" max="7"/>
    <col width="9.140625" customWidth="1" style="110" min="8" max="10"/>
    <col hidden="1" width="13" customWidth="1" style="110" min="11" max="13"/>
    <col width="9.140625" customWidth="1" style="110" min="14" max="14"/>
    <col width="14.5703125" customWidth="1" style="110" min="15" max="15"/>
    <col width="74.5703125" bestFit="1" customWidth="1" style="110" min="16" max="16"/>
    <col width="9.140625" customWidth="1" style="110" min="17" max="16384"/>
  </cols>
  <sheetData>
    <row r="1" customFormat="1" s="93">
      <c r="H1" s="173" t="n"/>
      <c r="I1" s="95" t="n"/>
      <c r="J1" s="95" t="n"/>
      <c r="K1" s="95" t="n"/>
      <c r="L1" s="95" t="n"/>
      <c r="M1" s="95" t="n"/>
      <c r="N1" s="95" t="n"/>
      <c r="O1" s="95" t="n"/>
    </row>
    <row r="2" customFormat="1" s="93">
      <c r="C2" s="173" t="n"/>
      <c r="D2" s="173" t="n"/>
      <c r="E2" s="173" t="n"/>
      <c r="F2" s="173" t="n"/>
      <c r="G2" s="173" t="n"/>
      <c r="H2" s="173" t="n"/>
      <c r="I2" s="95" t="n"/>
      <c r="J2" s="95" t="n"/>
      <c r="K2" s="95" t="n"/>
      <c r="L2" s="95" t="n"/>
      <c r="M2" s="95" t="n"/>
      <c r="N2" s="95" t="n"/>
      <c r="O2" s="95" t="n"/>
    </row>
    <row r="3" customFormat="1" s="93">
      <c r="C3" s="96" t="inlineStr">
        <is>
          <t>Tên màn hình/Tên chức năng</t>
        </is>
      </c>
      <c r="D3" s="87" t="inlineStr">
        <is>
          <t>tên module</t>
        </is>
      </c>
      <c r="E3" s="97" t="n"/>
      <c r="F3" s="173" t="n"/>
      <c r="G3" s="173" t="n"/>
      <c r="H3" s="173" t="n"/>
      <c r="I3" s="95" t="n"/>
      <c r="J3" s="95" t="n"/>
      <c r="K3" s="95" t="n"/>
      <c r="L3" s="95" t="n"/>
      <c r="M3" s="95" t="n"/>
      <c r="N3" s="95" t="n"/>
      <c r="O3" s="95" t="n"/>
    </row>
    <row r="4" customFormat="1" s="93">
      <c r="C4" s="96" t="inlineStr">
        <is>
          <t>Mã trường hợp kiểm thử</t>
        </is>
      </c>
      <c r="D4" s="98" t="n"/>
      <c r="E4" s="97" t="n"/>
      <c r="F4" s="173" t="n"/>
      <c r="G4" s="173" t="n"/>
      <c r="H4" s="173" t="n"/>
      <c r="I4" s="95" t="n"/>
      <c r="J4" s="95" t="n"/>
      <c r="K4" s="95" t="n"/>
      <c r="L4" s="95" t="n"/>
      <c r="M4" s="95" t="n"/>
      <c r="N4" s="95" t="n"/>
      <c r="O4" s="95" t="n"/>
    </row>
    <row r="5" customFormat="1" s="93">
      <c r="C5" s="97" t="n"/>
      <c r="D5" s="99" t="n"/>
      <c r="E5" s="97" t="n"/>
      <c r="F5" s="173" t="n"/>
      <c r="G5" s="173" t="n"/>
      <c r="H5" s="173" t="n"/>
      <c r="I5" s="95" t="n"/>
      <c r="J5" s="95" t="n"/>
      <c r="K5" s="95" t="n"/>
      <c r="L5" s="95" t="n"/>
      <c r="M5" s="95" t="n"/>
      <c r="N5" s="95" t="n"/>
      <c r="O5" s="95" t="n"/>
    </row>
    <row r="6" customFormat="1" s="93">
      <c r="C6" s="97" t="inlineStr">
        <is>
          <t>Manual test</t>
        </is>
      </c>
      <c r="D6" s="99" t="n"/>
      <c r="E6" s="97" t="n"/>
      <c r="F6" s="100" t="n"/>
      <c r="G6" s="173" t="n"/>
      <c r="H6" s="173" t="n"/>
      <c r="I6" s="95" t="n"/>
      <c r="J6" s="95" t="n"/>
      <c r="K6" s="95" t="n"/>
      <c r="L6" s="95" t="n"/>
      <c r="M6" s="95" t="n"/>
      <c r="N6" s="95" t="n"/>
      <c r="O6" s="95" t="n"/>
    </row>
    <row r="7" customFormat="1" s="93">
      <c r="C7" s="96" t="inlineStr">
        <is>
          <t>Số trường hợp kiểm thử đạt (P)</t>
        </is>
      </c>
      <c r="D7" s="101">
        <f>COUNTIF($O$16:$O$1702,"P")</f>
        <v/>
      </c>
      <c r="E7" s="97" t="n"/>
      <c r="F7" s="97" t="n"/>
      <c r="G7" s="173" t="n"/>
      <c r="H7" s="173" t="n"/>
      <c r="I7" s="95" t="n"/>
      <c r="J7" s="95" t="n"/>
      <c r="K7" s="95" t="n"/>
      <c r="L7" s="95" t="n"/>
      <c r="M7" s="95" t="n"/>
      <c r="N7" s="95" t="n"/>
      <c r="O7" s="95" t="n"/>
    </row>
    <row r="8" customFormat="1" s="93">
      <c r="C8" s="96" t="inlineStr">
        <is>
          <t>Số trường hợp kiểm thử không đạt (F)</t>
        </is>
      </c>
      <c r="D8" s="101">
        <f>COUNTIF($O$16:$O$387,"F")</f>
        <v/>
      </c>
      <c r="E8" s="97" t="n"/>
      <c r="F8" s="97" t="n"/>
      <c r="G8" s="173" t="n"/>
      <c r="H8" s="173" t="n"/>
      <c r="I8" s="95" t="n"/>
      <c r="J8" s="95" t="n"/>
      <c r="K8" s="95" t="n"/>
      <c r="L8" s="95" t="n"/>
      <c r="M8" s="95" t="n"/>
      <c r="N8" s="95" t="n"/>
      <c r="O8" s="95" t="n"/>
    </row>
    <row r="9" customFormat="1" s="93">
      <c r="C9" s="96" t="inlineStr">
        <is>
          <t>Số trường hợp kiểm thử đang xem xét (PE)</t>
        </is>
      </c>
      <c r="D9" s="101">
        <f>COUNTIF($O$16:$O$387,"PE")</f>
        <v/>
      </c>
      <c r="E9" s="97" t="n"/>
      <c r="F9" s="97" t="n"/>
      <c r="G9" s="173" t="n"/>
      <c r="H9" s="173" t="n"/>
      <c r="I9" s="95" t="n"/>
      <c r="J9" s="95" t="n"/>
      <c r="K9" s="95" t="n"/>
      <c r="L9" s="95" t="n"/>
      <c r="M9" s="95" t="n"/>
      <c r="N9" s="95" t="n"/>
      <c r="O9" s="95" t="n"/>
    </row>
    <row r="10" customFormat="1" s="93">
      <c r="C10" s="96" t="inlineStr">
        <is>
          <t>Số trường hợp kiểm thử chưa thực hiện</t>
        </is>
      </c>
      <c r="D10" s="101">
        <f>D11-D7-D8-D9</f>
        <v/>
      </c>
      <c r="E10" s="97" t="n"/>
      <c r="F10" s="97" t="n"/>
      <c r="G10" s="173" t="n"/>
      <c r="H10" s="173" t="n"/>
      <c r="I10" s="95" t="n"/>
      <c r="J10" s="95" t="n"/>
      <c r="K10" s="95" t="n"/>
      <c r="L10" s="95" t="n"/>
      <c r="M10" s="95" t="n"/>
      <c r="N10" s="95" t="n"/>
      <c r="O10" s="95" t="n"/>
    </row>
    <row r="11" customFormat="1" s="93">
      <c r="C11" s="96" t="inlineStr">
        <is>
          <t>Tổng số trường hợp kiểm thử</t>
        </is>
      </c>
      <c r="D11" s="101">
        <f>COUNTA($G$16:$G$382)</f>
        <v/>
      </c>
      <c r="E11" s="97" t="n"/>
      <c r="F11" s="97" t="n"/>
      <c r="G11" s="173" t="n"/>
      <c r="H11" s="173" t="n"/>
      <c r="I11" s="95" t="n"/>
      <c r="J11" s="95" t="n"/>
      <c r="K11" s="95" t="n"/>
      <c r="L11" s="95" t="n"/>
      <c r="M11" s="95" t="n"/>
      <c r="N11" s="95" t="n"/>
      <c r="O11" s="95" t="n"/>
    </row>
    <row r="12" customFormat="1" s="93">
      <c r="C12" s="99" t="n"/>
      <c r="D12" s="99" t="n"/>
      <c r="E12" s="99" t="n"/>
      <c r="F12" s="99" t="n"/>
      <c r="G12" s="99" t="n"/>
      <c r="H12" s="99" t="n"/>
      <c r="I12" s="95" t="n"/>
      <c r="J12" s="95" t="n"/>
      <c r="K12" s="95" t="n"/>
      <c r="L12" s="95" t="n"/>
      <c r="M12" s="95" t="n"/>
      <c r="N12" s="95" t="n"/>
      <c r="O12" s="95" t="n"/>
    </row>
    <row r="13" ht="12.75" customFormat="1" customHeight="1" s="99">
      <c r="A13" s="176" t="inlineStr">
        <is>
          <t>ID</t>
        </is>
      </c>
      <c r="B13" s="201" t="inlineStr">
        <is>
          <t>Mức độ ưu tiên</t>
        </is>
      </c>
      <c r="C13" s="176" t="inlineStr">
        <is>
          <t>Mục đích kiểm thử</t>
        </is>
      </c>
      <c r="D13" s="176" t="inlineStr">
        <is>
          <t>Trường hợp kiểm thử</t>
        </is>
      </c>
      <c r="E13" s="176" t="inlineStr">
        <is>
          <t>Data test</t>
        </is>
      </c>
      <c r="F13" s="176" t="inlineStr">
        <is>
          <t>Các bước thực hiện</t>
        </is>
      </c>
      <c r="G13" s="176" t="inlineStr">
        <is>
          <t>Kết quả mong muốn</t>
        </is>
      </c>
      <c r="H13" s="176" t="inlineStr">
        <is>
          <t>Ảnh màn hình</t>
        </is>
      </c>
      <c r="I13" s="201" t="inlineStr">
        <is>
          <t>IOS</t>
        </is>
      </c>
      <c r="J13" s="181" t="n"/>
      <c r="K13" s="182" t="n"/>
      <c r="L13" s="201" t="inlineStr">
        <is>
          <t>Android</t>
        </is>
      </c>
      <c r="M13" s="181" t="n"/>
      <c r="N13" s="182" t="n"/>
      <c r="O13" s="176" t="inlineStr">
        <is>
          <t>Kết quả (M)</t>
        </is>
      </c>
      <c r="P13" s="176" t="inlineStr">
        <is>
          <t>Mã lỗi</t>
        </is>
      </c>
      <c r="Q13" s="176" t="inlineStr">
        <is>
          <t>Ghi chú</t>
        </is>
      </c>
    </row>
    <row r="14" ht="44.25" customFormat="1" customHeight="1" s="99">
      <c r="A14" s="190" t="n"/>
      <c r="B14" s="190" t="n"/>
      <c r="C14" s="190" t="n"/>
      <c r="D14" s="190" t="n"/>
      <c r="E14" s="190" t="n"/>
      <c r="F14" s="190" t="n"/>
      <c r="G14" s="190" t="n"/>
      <c r="H14" s="190" t="n"/>
      <c r="I14" s="176" t="inlineStr">
        <is>
          <t>Lần 1</t>
        </is>
      </c>
      <c r="J14" s="176" t="inlineStr">
        <is>
          <t>Lần 2</t>
        </is>
      </c>
      <c r="K14" s="176" t="inlineStr">
        <is>
          <t>Lần 3</t>
        </is>
      </c>
      <c r="L14" s="176" t="inlineStr">
        <is>
          <t>Lần 1</t>
        </is>
      </c>
      <c r="M14" s="176" t="inlineStr">
        <is>
          <t>Lần 2</t>
        </is>
      </c>
      <c r="N14" s="201" t="inlineStr">
        <is>
          <t>Lần 3</t>
        </is>
      </c>
      <c r="O14" s="190" t="n"/>
      <c r="P14" s="190" t="n"/>
      <c r="Q14" s="190" t="n"/>
    </row>
    <row r="15" ht="13.5" customFormat="1" customHeight="1" s="105">
      <c r="A15" s="88" t="n"/>
      <c r="C15" s="104" t="inlineStr">
        <is>
          <t>Suite-1:</t>
        </is>
      </c>
      <c r="D15" s="104" t="n"/>
      <c r="E15" s="104" t="n"/>
      <c r="F15" s="104" t="n"/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</row>
    <row r="16" customFormat="1" s="99">
      <c r="A16" s="176" t="n"/>
      <c r="C16" s="98" t="n"/>
      <c r="D16" s="106" t="n"/>
      <c r="E16" s="107" t="n"/>
      <c r="F16" s="176" t="n"/>
      <c r="G16" s="108" t="n"/>
      <c r="H16" s="176" t="n"/>
      <c r="I16" s="109" t="n"/>
      <c r="J16" s="109" t="n"/>
      <c r="K16" s="109" t="n"/>
      <c r="L16" s="109" t="n"/>
      <c r="M16" s="109" t="n"/>
      <c r="N16" s="109" t="n"/>
      <c r="O16" s="109">
        <f>IF(OR(IF(K16="",IF(J16="",IF(I16="","",I16),J16),K16)="F", IF(N16="",IF(M16="",IF(L16="","",L16), M16),N16)="F")=TRUE,"F",
IF(OR(IF(K16="",IF(J16="",IF(I16="","",I16),J16),K16)="PE", IF(N16="",IF(M16="",IF(L16="","",L16), M16),N16)="PE")=TRUE,"PE",
IF(AND(IF(K16="",IF(J16="",IF(I16="","",I16),J16),K16)="", IF(N16="",IF(M16="",IF(L16="","",L16), M16),N16)="")=TRUE,"","P")))</f>
        <v/>
      </c>
      <c r="P16" s="176" t="n"/>
      <c r="Q16" s="176" t="n"/>
    </row>
    <row r="17" customFormat="1" s="99">
      <c r="A17" s="176" t="n"/>
      <c r="C17" s="98" t="n"/>
      <c r="D17" s="106" t="n"/>
      <c r="E17" s="107" t="n"/>
      <c r="F17" s="176" t="n"/>
      <c r="G17" s="108" t="n"/>
      <c r="H17" s="176" t="n"/>
      <c r="I17" s="109" t="n"/>
      <c r="J17" s="109" t="n"/>
      <c r="K17" s="109" t="n"/>
      <c r="L17" s="109" t="n"/>
      <c r="M17" s="109" t="n"/>
      <c r="N17" s="109" t="n"/>
      <c r="O17" s="109">
        <f>IF(OR(IF(K17="",IF(J17="",IF(I17="","",I17),J17),K17)="F", IF(N17="",IF(M17="",IF(L17="","",L17), M17),N17)="F")=TRUE,"F",
IF(OR(IF(K17="",IF(J17="",IF(I17="","",I17),J17),K17)="PE", IF(N17="",IF(M17="",IF(L17="","",L17), M17),N17)="PE")=TRUE,"PE",
IF(AND(IF(K17="",IF(J17="",IF(I17="","",I17),J17),K17)="", IF(N17="",IF(M17="",IF(L17="","",L17), M17),N17)="")=TRUE,"","P")))</f>
        <v/>
      </c>
      <c r="P17" s="176" t="n"/>
      <c r="Q17" s="176" t="n"/>
    </row>
    <row r="18" customFormat="1" s="99">
      <c r="A18" s="176" t="n"/>
      <c r="C18" s="98" t="n"/>
      <c r="D18" s="106" t="n"/>
      <c r="E18" s="107" t="n"/>
      <c r="F18" s="176" t="n"/>
      <c r="G18" s="108" t="n"/>
      <c r="H18" s="176" t="n"/>
      <c r="I18" s="109" t="n"/>
      <c r="J18" s="109" t="n"/>
      <c r="K18" s="109" t="n"/>
      <c r="L18" s="109" t="n"/>
      <c r="M18" s="109" t="n"/>
      <c r="N18" s="109" t="n"/>
      <c r="O18" s="109">
        <f>IF(OR(IF(K18="",IF(J18="",IF(I18="","",I18),J18),K18)="F", IF(N18="",IF(M18="",IF(L18="","",L18), M18),N18)="F")=TRUE,"F",
IF(OR(IF(K18="",IF(J18="",IF(I18="","",I18),J18),K18)="PE", IF(N18="",IF(M18="",IF(L18="","",L18), M18),N18)="PE")=TRUE,"PE",
IF(AND(IF(K18="",IF(J18="",IF(I18="","",I18),J18),K18)="", IF(N18="",IF(M18="",IF(L18="","",L18), M18),N18)="")=TRUE,"","P")))</f>
        <v/>
      </c>
      <c r="P18" s="176" t="n"/>
      <c r="Q18" s="176" t="n"/>
    </row>
    <row r="19" customFormat="1" s="99">
      <c r="A19" s="176" t="n"/>
      <c r="C19" s="98" t="n"/>
      <c r="D19" s="106" t="n"/>
      <c r="E19" s="107" t="n"/>
      <c r="F19" s="176" t="n"/>
      <c r="G19" s="108" t="n"/>
      <c r="H19" s="176" t="n"/>
      <c r="I19" s="109" t="n"/>
      <c r="J19" s="109" t="n"/>
      <c r="K19" s="109" t="n"/>
      <c r="L19" s="109" t="n"/>
      <c r="M19" s="109" t="n"/>
      <c r="N19" s="109" t="n"/>
      <c r="O19" s="109">
        <f>IF(OR(IF(K19="",IF(J19="",IF(I19="","",I19),J19),K19)="F", IF(N19="",IF(M19="",IF(L19="","",L19), M19),N19)="F")=TRUE,"F",
IF(OR(IF(K19="",IF(J19="",IF(I19="","",I19),J19),K19)="PE", IF(N19="",IF(M19="",IF(L19="","",L19), M19),N19)="PE")=TRUE,"PE",
IF(AND(IF(K19="",IF(J19="",IF(I19="","",I19),J19),K19)="", IF(N19="",IF(M19="",IF(L19="","",L19), M19),N19)="")=TRUE,"","P")))</f>
        <v/>
      </c>
      <c r="P19" s="176" t="n"/>
      <c r="Q19" s="176" t="n"/>
    </row>
    <row r="20" customFormat="1" s="99">
      <c r="A20" s="176" t="n"/>
      <c r="C20" s="98" t="n"/>
      <c r="D20" s="98" t="n"/>
      <c r="E20" s="106" t="n"/>
      <c r="F20" s="176" t="n"/>
      <c r="G20" s="108" t="n"/>
      <c r="H20" s="176" t="n"/>
      <c r="I20" s="109" t="n"/>
      <c r="J20" s="109" t="n"/>
      <c r="K20" s="109" t="n"/>
      <c r="L20" s="109" t="n"/>
      <c r="M20" s="109" t="n"/>
      <c r="N20" s="109" t="n"/>
      <c r="O20" s="109">
        <f>IF(OR(IF(K20="",IF(J20="",IF(I20="","",I20),J20),K20)="F", IF(N20="",IF(M20="",IF(L20="","",L20), M20),N20)="F")=TRUE,"F",
IF(OR(IF(K20="",IF(J20="",IF(I20="","",I20),J20),K20)="PE", IF(N20="",IF(M20="",IF(L20="","",L20), M20),N20)="PE")=TRUE,"PE",
IF(AND(IF(K20="",IF(J20="",IF(I20="","",I20),J20),K20)="", IF(N20="",IF(M20="",IF(L20="","",L20), M20),N20)="")=TRUE,"","P")))</f>
        <v/>
      </c>
      <c r="P20" s="176" t="n"/>
      <c r="Q20" s="176" t="n"/>
    </row>
    <row r="21" customFormat="1" s="99">
      <c r="A21" s="176" t="n"/>
      <c r="C21" s="98" t="n"/>
      <c r="D21" s="98" t="n"/>
      <c r="E21" s="106" t="n"/>
      <c r="F21" s="176" t="n"/>
      <c r="G21" s="108" t="n"/>
      <c r="H21" s="176" t="n"/>
      <c r="I21" s="109" t="n"/>
      <c r="J21" s="109" t="n"/>
      <c r="K21" s="109" t="n"/>
      <c r="L21" s="109" t="n"/>
      <c r="M21" s="109" t="n"/>
      <c r="N21" s="109" t="n"/>
      <c r="O21" s="109">
        <f>IF(OR(IF(K21="",IF(J21="",IF(I21="","",I21),J21),K21)="F", IF(N21="",IF(M21="",IF(L21="","",L21), M21),N21)="F")=TRUE,"F",
IF(OR(IF(K21="",IF(J21="",IF(I21="","",I21),J21),K21)="PE", IF(N21="",IF(M21="",IF(L21="","",L21), M21),N21)="PE")=TRUE,"PE",
IF(AND(IF(K21="",IF(J21="",IF(I21="","",I21),J21),K21)="", IF(N21="",IF(M21="",IF(L21="","",L21), M21),N21)="")=TRUE,"","P")))</f>
        <v/>
      </c>
      <c r="P21" s="176" t="n"/>
      <c r="Q21" s="176" t="n"/>
    </row>
    <row r="22" customFormat="1" s="99">
      <c r="A22" s="176" t="n"/>
      <c r="C22" s="98" t="n"/>
      <c r="D22" s="98" t="n"/>
      <c r="E22" s="106" t="n"/>
      <c r="F22" s="176" t="n"/>
      <c r="G22" s="108" t="n"/>
      <c r="H22" s="176" t="n"/>
      <c r="I22" s="109" t="n"/>
      <c r="J22" s="109" t="n"/>
      <c r="K22" s="109" t="n"/>
      <c r="L22" s="109" t="n"/>
      <c r="M22" s="109" t="n"/>
      <c r="N22" s="109" t="n"/>
      <c r="O22" s="109">
        <f>IF(OR(IF(K22="",IF(J22="",IF(I22="","",I22),J22),K22)="F", IF(N22="",IF(M22="",IF(L22="","",L22), M22),N22)="F")=TRUE,"F",
IF(OR(IF(K22="",IF(J22="",IF(I22="","",I22),J22),K22)="PE", IF(N22="",IF(M22="",IF(L22="","",L22), M22),N22)="PE")=TRUE,"PE",
IF(AND(IF(K22="",IF(J22="",IF(I22="","",I22),J22),K22)="", IF(N22="",IF(M22="",IF(L22="","",L22), M22),N22)="")=TRUE,"","P")))</f>
        <v/>
      </c>
      <c r="P22" s="176" t="n"/>
      <c r="Q22" s="176" t="n"/>
    </row>
    <row r="23" customFormat="1" s="99">
      <c r="A23" s="176" t="n"/>
      <c r="C23" s="98" t="n"/>
      <c r="D23" s="98" t="n"/>
      <c r="E23" s="106" t="n"/>
      <c r="F23" s="176" t="n"/>
      <c r="G23" s="108" t="n"/>
      <c r="H23" s="176" t="n"/>
      <c r="I23" s="109" t="n"/>
      <c r="J23" s="109" t="n"/>
      <c r="K23" s="109" t="n"/>
      <c r="L23" s="109" t="n"/>
      <c r="M23" s="109" t="n"/>
      <c r="N23" s="109" t="n"/>
      <c r="O23" s="109">
        <f>IF(OR(IF(K23="",IF(J23="",IF(I23="","",I23),J23),K23)="F", IF(N23="",IF(M23="",IF(L23="","",L23), M23),N23)="F")=TRUE,"F",
IF(OR(IF(K23="",IF(J23="",IF(I23="","",I23),J23),K23)="PE", IF(N23="",IF(M23="",IF(L23="","",L23), M23),N23)="PE")=TRUE,"PE",
IF(AND(IF(K23="",IF(J23="",IF(I23="","",I23),J23),K23)="", IF(N23="",IF(M23="",IF(L23="","",L23), M23),N23)="")=TRUE,"","P")))</f>
        <v/>
      </c>
      <c r="P23" s="176" t="n"/>
      <c r="Q23" s="176" t="n"/>
    </row>
    <row r="24" customFormat="1" s="99">
      <c r="A24" s="176" t="n"/>
      <c r="C24" s="98" t="n"/>
      <c r="D24" s="98" t="n"/>
      <c r="E24" s="106" t="n"/>
      <c r="F24" s="176" t="n"/>
      <c r="G24" s="108" t="n"/>
      <c r="H24" s="176" t="n"/>
      <c r="I24" s="109" t="n"/>
      <c r="J24" s="109" t="n"/>
      <c r="K24" s="109" t="n"/>
      <c r="L24" s="109" t="n"/>
      <c r="M24" s="109" t="n"/>
      <c r="N24" s="109" t="n"/>
      <c r="O24" s="109">
        <f>IF(OR(IF(K24="",IF(J24="",IF(I24="","",I24),J24),K24)="F", IF(N24="",IF(M24="",IF(L24="","",L24), M24),N24)="F")=TRUE,"F",
IF(OR(IF(K24="",IF(J24="",IF(I24="","",I24),J24),K24)="PE", IF(N24="",IF(M24="",IF(L24="","",L24), M24),N24)="PE")=TRUE,"PE",
IF(AND(IF(K24="",IF(J24="",IF(I24="","",I24),J24),K24)="", IF(N24="",IF(M24="",IF(L24="","",L24), M24),N24)="")=TRUE,"","P")))</f>
        <v/>
      </c>
      <c r="P24" s="176" t="n"/>
      <c r="Q24" s="176" t="n"/>
    </row>
    <row r="25" customFormat="1" s="99">
      <c r="A25" s="176" t="n"/>
      <c r="C25" s="98" t="n"/>
      <c r="D25" s="98" t="n"/>
      <c r="E25" s="106" t="n"/>
      <c r="F25" s="176" t="n"/>
      <c r="G25" s="108" t="n"/>
      <c r="H25" s="176" t="n"/>
      <c r="I25" s="109" t="n"/>
      <c r="J25" s="109" t="n"/>
      <c r="K25" s="109" t="n"/>
      <c r="L25" s="109" t="n"/>
      <c r="M25" s="109" t="n"/>
      <c r="N25" s="109" t="n"/>
      <c r="O25" s="109">
        <f>IF(OR(IF(K25="",IF(J25="",IF(I25="","",I25),J25),K25)="F", IF(N25="",IF(M25="",IF(L25="","",L25), M25),N25)="F")=TRUE,"F",
IF(OR(IF(K25="",IF(J25="",IF(I25="","",I25),J25),K25)="PE", IF(N25="",IF(M25="",IF(L25="","",L25), M25),N25)="PE")=TRUE,"PE",
IF(AND(IF(K25="",IF(J25="",IF(I25="","",I25),J25),K25)="", IF(N25="",IF(M25="",IF(L25="","",L25), M25),N25)="")=TRUE,"","P")))</f>
        <v/>
      </c>
      <c r="P25" s="176" t="n"/>
      <c r="Q25" s="176" t="n"/>
    </row>
    <row r="26" customFormat="1" s="99">
      <c r="A26" s="176" t="n"/>
      <c r="C26" s="98" t="n"/>
      <c r="D26" s="98" t="n"/>
      <c r="E26" s="106" t="n"/>
      <c r="F26" s="176" t="n"/>
      <c r="G26" s="108" t="n"/>
      <c r="H26" s="176" t="n"/>
      <c r="I26" s="109" t="n"/>
      <c r="J26" s="109" t="n"/>
      <c r="K26" s="109" t="n"/>
      <c r="L26" s="109" t="n"/>
      <c r="M26" s="109" t="n"/>
      <c r="N26" s="109" t="n"/>
      <c r="O26" s="109">
        <f>IF(OR(IF(K26="",IF(J26="",IF(I26="","",I26),J26),K26)="F", IF(N26="",IF(M26="",IF(L26="","",L26), M26),N26)="F")=TRUE,"F",
IF(OR(IF(K26="",IF(J26="",IF(I26="","",I26),J26),K26)="PE", IF(N26="",IF(M26="",IF(L26="","",L26), M26),N26)="PE")=TRUE,"PE",
IF(AND(IF(K26="",IF(J26="",IF(I26="","",I26),J26),K26)="", IF(N26="",IF(M26="",IF(L26="","",L26), M26),N26)="")=TRUE,"","P")))</f>
        <v/>
      </c>
      <c r="P26" s="176" t="n"/>
      <c r="Q26" s="176" t="n"/>
    </row>
    <row r="27" customFormat="1" s="99">
      <c r="A27" s="176" t="n"/>
      <c r="C27" s="98" t="n"/>
      <c r="D27" s="98" t="n"/>
      <c r="E27" s="106" t="n"/>
      <c r="F27" s="176" t="n"/>
      <c r="G27" s="108" t="n"/>
      <c r="H27" s="176" t="n"/>
      <c r="I27" s="109" t="n"/>
      <c r="J27" s="109" t="n"/>
      <c r="K27" s="109" t="n"/>
      <c r="L27" s="109" t="n"/>
      <c r="M27" s="109" t="n"/>
      <c r="N27" s="109" t="n"/>
      <c r="O27" s="109">
        <f>IF(OR(IF(K27="",IF(J27="",IF(I27="","",I27),J27),K27)="F", IF(N27="",IF(M27="",IF(L27="","",L27), M27),N27)="F")=TRUE,"F",
IF(OR(IF(K27="",IF(J27="",IF(I27="","",I27),J27),K27)="PE", IF(N27="",IF(M27="",IF(L27="","",L27), M27),N27)="PE")=TRUE,"PE",
IF(AND(IF(K27="",IF(J27="",IF(I27="","",I27),J27),K27)="", IF(N27="",IF(M27="",IF(L27="","",L27), M27),N27)="")=TRUE,"","P")))</f>
        <v/>
      </c>
      <c r="P27" s="176" t="n"/>
      <c r="Q27" s="176" t="n"/>
    </row>
    <row r="28" customFormat="1" s="99">
      <c r="A28" s="176" t="n"/>
      <c r="C28" s="98" t="n"/>
      <c r="D28" s="98" t="n"/>
      <c r="E28" s="106" t="n"/>
      <c r="F28" s="176" t="n"/>
      <c r="G28" s="108" t="n"/>
      <c r="H28" s="176" t="n"/>
      <c r="I28" s="109" t="n"/>
      <c r="J28" s="109" t="n"/>
      <c r="K28" s="109" t="n"/>
      <c r="L28" s="109" t="n"/>
      <c r="M28" s="109" t="n"/>
      <c r="N28" s="109" t="n"/>
      <c r="O28" s="109">
        <f>IF(OR(IF(K28="",IF(J28="",IF(I28="","",I28),J28),K28)="F", IF(N28="",IF(M28="",IF(L28="","",L28), M28),N28)="F")=TRUE,"F",
IF(OR(IF(K28="",IF(J28="",IF(I28="","",I28),J28),K28)="PE", IF(N28="",IF(M28="",IF(L28="","",L28), M28),N28)="PE")=TRUE,"PE",
IF(AND(IF(K28="",IF(J28="",IF(I28="","",I28),J28),K28)="", IF(N28="",IF(M28="",IF(L28="","",L28), M28),N28)="")=TRUE,"","P")))</f>
        <v/>
      </c>
      <c r="P28" s="176" t="n"/>
      <c r="Q28" s="176" t="n"/>
    </row>
    <row r="29" customFormat="1" s="99">
      <c r="A29" s="176" t="n"/>
      <c r="C29" s="98" t="n"/>
      <c r="D29" s="98" t="n"/>
      <c r="E29" s="106" t="n"/>
      <c r="F29" s="176" t="n"/>
      <c r="G29" s="108" t="n"/>
      <c r="H29" s="176" t="n"/>
      <c r="I29" s="109" t="n"/>
      <c r="J29" s="109" t="n"/>
      <c r="K29" s="109" t="n"/>
      <c r="L29" s="109" t="n"/>
      <c r="M29" s="109" t="n"/>
      <c r="N29" s="109" t="n"/>
      <c r="O29" s="109">
        <f>IF(OR(IF(K29="",IF(J29="",IF(I29="","",I29),J29),K29)="F", IF(N29="",IF(M29="",IF(L29="","",L29), M29),N29)="F")=TRUE,"F",
IF(OR(IF(K29="",IF(J29="",IF(I29="","",I29),J29),K29)="PE", IF(N29="",IF(M29="",IF(L29="","",L29), M29),N29)="PE")=TRUE,"PE",
IF(AND(IF(K29="",IF(J29="",IF(I29="","",I29),J29),K29)="", IF(N29="",IF(M29="",IF(L29="","",L29), M29),N29)="")=TRUE,"","P")))</f>
        <v/>
      </c>
      <c r="P29" s="176" t="n"/>
      <c r="Q29" s="176" t="n"/>
    </row>
    <row r="30" customFormat="1" s="99">
      <c r="A30" s="176" t="n"/>
      <c r="C30" s="98" t="n"/>
      <c r="D30" s="98" t="n"/>
      <c r="E30" s="106" t="n"/>
      <c r="F30" s="176" t="n"/>
      <c r="G30" s="108" t="n"/>
      <c r="H30" s="176" t="n"/>
      <c r="I30" s="109" t="n"/>
      <c r="J30" s="109" t="n"/>
      <c r="K30" s="109" t="n"/>
      <c r="L30" s="109" t="n"/>
      <c r="M30" s="109" t="n"/>
      <c r="N30" s="109" t="n"/>
      <c r="O30" s="109">
        <f>IF(OR(IF(K30="",IF(J30="",IF(I30="","",I30),J30),K30)="F", IF(N30="",IF(M30="",IF(L30="","",L30), M30),N30)="F")=TRUE,"F",
IF(OR(IF(K30="",IF(J30="",IF(I30="","",I30),J30),K30)="PE", IF(N30="",IF(M30="",IF(L30="","",L30), M30),N30)="PE")=TRUE,"PE",
IF(AND(IF(K30="",IF(J30="",IF(I30="","",I30),J30),K30)="", IF(N30="",IF(M30="",IF(L30="","",L30), M30),N30)="")=TRUE,"","P")))</f>
        <v/>
      </c>
      <c r="P30" s="176" t="n"/>
      <c r="Q30" s="176" t="n"/>
    </row>
    <row r="31" customFormat="1" s="99">
      <c r="A31" s="176" t="n"/>
      <c r="C31" s="98" t="n"/>
      <c r="D31" s="98" t="n"/>
      <c r="E31" s="106" t="n"/>
      <c r="F31" s="176" t="n"/>
      <c r="G31" s="108" t="n"/>
      <c r="H31" s="176" t="n"/>
      <c r="I31" s="109" t="n"/>
      <c r="J31" s="109" t="n"/>
      <c r="K31" s="109" t="n"/>
      <c r="L31" s="109" t="n"/>
      <c r="M31" s="109" t="n"/>
      <c r="N31" s="109" t="n"/>
      <c r="O31" s="109">
        <f>IF(OR(IF(K31="",IF(J31="",IF(I31="","",I31),J31),K31)="F", IF(N31="",IF(M31="",IF(L31="","",L31), M31),N31)="F")=TRUE,"F",
IF(OR(IF(K31="",IF(J31="",IF(I31="","",I31),J31),K31)="PE", IF(N31="",IF(M31="",IF(L31="","",L31), M31),N31)="PE")=TRUE,"PE",
IF(AND(IF(K31="",IF(J31="",IF(I31="","",I31),J31),K31)="", IF(N31="",IF(M31="",IF(L31="","",L31), M31),N31)="")=TRUE,"","P")))</f>
        <v/>
      </c>
      <c r="P31" s="176" t="n"/>
      <c r="Q31" s="176" t="n"/>
    </row>
    <row r="32" customFormat="1" s="99">
      <c r="A32" s="176" t="n"/>
      <c r="C32" s="98" t="n"/>
      <c r="D32" s="98" t="n"/>
      <c r="E32" s="106" t="n"/>
      <c r="F32" s="176" t="n"/>
      <c r="G32" s="108" t="n"/>
      <c r="H32" s="176" t="n"/>
      <c r="I32" s="109" t="n"/>
      <c r="J32" s="109" t="n"/>
      <c r="K32" s="109" t="n"/>
      <c r="L32" s="109" t="n"/>
      <c r="M32" s="109" t="n"/>
      <c r="N32" s="109" t="n"/>
      <c r="O32" s="109">
        <f>IF(OR(IF(K32="",IF(J32="",IF(I32="","",I32),J32),K32)="F", IF(N32="",IF(M32="",IF(L32="","",L32), M32),N32)="F")=TRUE,"F",
IF(OR(IF(K32="",IF(J32="",IF(I32="","",I32),J32),K32)="PE", IF(N32="",IF(M32="",IF(L32="","",L32), M32),N32)="PE")=TRUE,"PE",
IF(AND(IF(K32="",IF(J32="",IF(I32="","",I32),J32),K32)="", IF(N32="",IF(M32="",IF(L32="","",L32), M32),N32)="")=TRUE,"","P")))</f>
        <v/>
      </c>
      <c r="P32" s="176" t="n"/>
      <c r="Q32" s="176" t="n"/>
    </row>
    <row r="33" customFormat="1" s="99">
      <c r="A33" s="176" t="n"/>
      <c r="C33" s="98" t="n"/>
      <c r="D33" s="98" t="n"/>
      <c r="E33" s="106" t="n"/>
      <c r="F33" s="176" t="n"/>
      <c r="G33" s="108" t="n"/>
      <c r="H33" s="176" t="n"/>
      <c r="I33" s="109" t="n"/>
      <c r="J33" s="109" t="n"/>
      <c r="K33" s="109" t="n"/>
      <c r="L33" s="109" t="n"/>
      <c r="M33" s="109" t="n"/>
      <c r="N33" s="109" t="n"/>
      <c r="O33" s="109">
        <f>IF(OR(IF(K33="",IF(J33="",IF(I33="","",I33),J33),K33)="F", IF(N33="",IF(M33="",IF(L33="","",L33), M33),N33)="F")=TRUE,"F",
IF(OR(IF(K33="",IF(J33="",IF(I33="","",I33),J33),K33)="PE", IF(N33="",IF(M33="",IF(L33="","",L33), M33),N33)="PE")=TRUE,"PE",
IF(AND(IF(K33="",IF(J33="",IF(I33="","",I33),J33),K33)="", IF(N33="",IF(M33="",IF(L33="","",L33), M33),N33)="")=TRUE,"","P")))</f>
        <v/>
      </c>
      <c r="P33" s="176" t="n"/>
      <c r="Q33" s="176" t="n"/>
    </row>
    <row r="34" customFormat="1" s="99">
      <c r="A34" s="176" t="n"/>
      <c r="C34" s="98" t="n"/>
      <c r="D34" s="98" t="n"/>
      <c r="E34" s="106" t="n"/>
      <c r="F34" s="176" t="n"/>
      <c r="G34" s="108" t="n"/>
      <c r="H34" s="176" t="n"/>
      <c r="I34" s="109" t="n"/>
      <c r="J34" s="109" t="n"/>
      <c r="K34" s="109" t="n"/>
      <c r="L34" s="109" t="n"/>
      <c r="M34" s="109" t="n"/>
      <c r="N34" s="109" t="n"/>
      <c r="O34" s="109">
        <f>IF(OR(IF(K34="",IF(J34="",IF(I34="","",I34),J34),K34)="F", IF(N34="",IF(M34="",IF(L34="","",L34), M34),N34)="F")=TRUE,"F",
IF(OR(IF(K34="",IF(J34="",IF(I34="","",I34),J34),K34)="PE", IF(N34="",IF(M34="",IF(L34="","",L34), M34),N34)="PE")=TRUE,"PE",
IF(AND(IF(K34="",IF(J34="",IF(I34="","",I34),J34),K34)="", IF(N34="",IF(M34="",IF(L34="","",L34), M34),N34)="")=TRUE,"","P")))</f>
        <v/>
      </c>
      <c r="P34" s="176" t="n"/>
      <c r="Q34" s="176" t="n"/>
    </row>
    <row r="35" customFormat="1" s="99">
      <c r="A35" s="176" t="n"/>
      <c r="C35" s="98" t="n"/>
      <c r="D35" s="98" t="n"/>
      <c r="E35" s="106" t="n"/>
      <c r="F35" s="176" t="n"/>
      <c r="G35" s="108" t="n"/>
      <c r="H35" s="176" t="n"/>
      <c r="I35" s="109" t="n"/>
      <c r="J35" s="109" t="n"/>
      <c r="K35" s="109" t="n"/>
      <c r="L35" s="109" t="n"/>
      <c r="M35" s="109" t="n"/>
      <c r="N35" s="109" t="n"/>
      <c r="O35" s="109">
        <f>IF(OR(IF(K35="",IF(J35="",IF(I35="","",I35),J35),K35)="F", IF(N35="",IF(M35="",IF(L35="","",L35), M35),N35)="F")=TRUE,"F",
IF(OR(IF(K35="",IF(J35="",IF(I35="","",I35),J35),K35)="PE", IF(N35="",IF(M35="",IF(L35="","",L35), M35),N35)="PE")=TRUE,"PE",
IF(AND(IF(K35="",IF(J35="",IF(I35="","",I35),J35),K35)="", IF(N35="",IF(M35="",IF(L35="","",L35), M35),N35)="")=TRUE,"","P")))</f>
        <v/>
      </c>
      <c r="P35" s="176" t="n"/>
      <c r="Q35" s="176" t="n"/>
    </row>
    <row r="36" customFormat="1" s="99">
      <c r="A36" s="176" t="n"/>
      <c r="C36" s="98" t="n"/>
      <c r="D36" s="98" t="n"/>
      <c r="E36" s="106" t="n"/>
      <c r="F36" s="176" t="n"/>
      <c r="G36" s="108" t="n"/>
      <c r="H36" s="176" t="n"/>
      <c r="I36" s="109" t="n"/>
      <c r="J36" s="109" t="n"/>
      <c r="K36" s="109" t="n"/>
      <c r="L36" s="109" t="n"/>
      <c r="M36" s="109" t="n"/>
      <c r="N36" s="109" t="n"/>
      <c r="O36" s="109">
        <f>IF(OR(IF(K36="",IF(J36="",IF(I36="","",I36),J36),K36)="F", IF(N36="",IF(M36="",IF(L36="","",L36), M36),N36)="F")=TRUE,"F",
IF(OR(IF(K36="",IF(J36="",IF(I36="","",I36),J36),K36)="PE", IF(N36="",IF(M36="",IF(L36="","",L36), M36),N36)="PE")=TRUE,"PE",
IF(AND(IF(K36="",IF(J36="",IF(I36="","",I36),J36),K36)="", IF(N36="",IF(M36="",IF(L36="","",L36), M36),N36)="")=TRUE,"","P")))</f>
        <v/>
      </c>
      <c r="P36" s="176" t="n"/>
      <c r="Q36" s="176" t="n"/>
    </row>
    <row r="37" customFormat="1" s="99">
      <c r="A37" s="176" t="n"/>
      <c r="C37" s="98" t="n"/>
      <c r="D37" s="98" t="n"/>
      <c r="E37" s="106" t="n"/>
      <c r="F37" s="176" t="n"/>
      <c r="G37" s="108" t="n"/>
      <c r="H37" s="176" t="n"/>
      <c r="I37" s="109" t="n"/>
      <c r="J37" s="109" t="n"/>
      <c r="K37" s="109" t="n"/>
      <c r="L37" s="109" t="n"/>
      <c r="M37" s="109" t="n"/>
      <c r="N37" s="109" t="n"/>
      <c r="O37" s="109">
        <f>IF(OR(IF(K37="",IF(J37="",IF(I37="","",I37),J37),K37)="F", IF(N37="",IF(M37="",IF(L37="","",L37), M37),N37)="F")=TRUE,"F",
IF(OR(IF(K37="",IF(J37="",IF(I37="","",I37),J37),K37)="PE", IF(N37="",IF(M37="",IF(L37="","",L37), M37),N37)="PE")=TRUE,"PE",
IF(AND(IF(K37="",IF(J37="",IF(I37="","",I37),J37),K37)="", IF(N37="",IF(M37="",IF(L37="","",L37), M37),N37)="")=TRUE,"","P")))</f>
        <v/>
      </c>
      <c r="P37" s="176" t="n"/>
      <c r="Q37" s="176" t="n"/>
    </row>
    <row r="38" customFormat="1" s="99">
      <c r="A38" s="176" t="n"/>
      <c r="C38" s="98" t="n"/>
      <c r="D38" s="98" t="n"/>
      <c r="E38" s="106" t="n"/>
      <c r="F38" s="176" t="n"/>
      <c r="G38" s="108" t="n"/>
      <c r="H38" s="176" t="n"/>
      <c r="I38" s="109" t="n"/>
      <c r="J38" s="109" t="n"/>
      <c r="K38" s="109" t="n"/>
      <c r="L38" s="109" t="n"/>
      <c r="M38" s="109" t="n"/>
      <c r="N38" s="109" t="n"/>
      <c r="O38" s="109">
        <f>IF(OR(IF(K38="",IF(J38="",IF(I38="","",I38),J38),K38)="F", IF(N38="",IF(M38="",IF(L38="","",L38), M38),N38)="F")=TRUE,"F",
IF(OR(IF(K38="",IF(J38="",IF(I38="","",I38),J38),K38)="PE", IF(N38="",IF(M38="",IF(L38="","",L38), M38),N38)="PE")=TRUE,"PE",
IF(AND(IF(K38="",IF(J38="",IF(I38="","",I38),J38),K38)="", IF(N38="",IF(M38="",IF(L38="","",L38), M38),N38)="")=TRUE,"","P")))</f>
        <v/>
      </c>
      <c r="P38" s="176" t="n"/>
      <c r="Q38" s="176" t="n"/>
    </row>
    <row r="39" customFormat="1" s="99">
      <c r="A39" s="176" t="n"/>
      <c r="C39" s="98" t="n"/>
      <c r="D39" s="98" t="n"/>
      <c r="E39" s="106" t="n"/>
      <c r="F39" s="176" t="n"/>
      <c r="G39" s="108" t="n"/>
      <c r="H39" s="176" t="n"/>
      <c r="I39" s="109" t="n"/>
      <c r="J39" s="109" t="n"/>
      <c r="K39" s="109" t="n"/>
      <c r="L39" s="109" t="n"/>
      <c r="M39" s="109" t="n"/>
      <c r="N39" s="109" t="n"/>
      <c r="O39" s="109">
        <f>IF(OR(IF(K39="",IF(J39="",IF(I39="","",I39),J39),K39)="F", IF(N39="",IF(M39="",IF(L39="","",L39), M39),N39)="F")=TRUE,"F",
IF(OR(IF(K39="",IF(J39="",IF(I39="","",I39),J39),K39)="PE", IF(N39="",IF(M39="",IF(L39="","",L39), M39),N39)="PE")=TRUE,"PE",
IF(AND(IF(K39="",IF(J39="",IF(I39="","",I39),J39),K39)="", IF(N39="",IF(M39="",IF(L39="","",L39), M39),N39)="")=TRUE,"","P")))</f>
        <v/>
      </c>
      <c r="P39" s="176" t="n"/>
      <c r="Q39" s="176" t="n"/>
    </row>
    <row r="40" customFormat="1" s="99">
      <c r="A40" s="176" t="n"/>
      <c r="C40" s="98" t="n"/>
      <c r="D40" s="98" t="n"/>
      <c r="E40" s="106" t="n"/>
      <c r="F40" s="176" t="n"/>
      <c r="G40" s="108" t="n"/>
      <c r="H40" s="176" t="n"/>
      <c r="I40" s="109" t="n"/>
      <c r="J40" s="109" t="n"/>
      <c r="K40" s="109" t="n"/>
      <c r="L40" s="109" t="n"/>
      <c r="M40" s="109" t="n"/>
      <c r="N40" s="109" t="n"/>
      <c r="O40" s="109">
        <f>IF(OR(IF(K40="",IF(J40="",IF(I40="","",I40),J40),K40)="F", IF(N40="",IF(M40="",IF(L40="","",L40), M40),N40)="F")=TRUE,"F",
IF(OR(IF(K40="",IF(J40="",IF(I40="","",I40),J40),K40)="PE", IF(N40="",IF(M40="",IF(L40="","",L40), M40),N40)="PE")=TRUE,"PE",
IF(AND(IF(K40="",IF(J40="",IF(I40="","",I40),J40),K40)="", IF(N40="",IF(M40="",IF(L40="","",L40), M40),N40)="")=TRUE,"","P")))</f>
        <v/>
      </c>
      <c r="P40" s="176" t="n"/>
      <c r="Q40" s="176" t="n"/>
    </row>
    <row r="41" customFormat="1" s="99">
      <c r="A41" s="176" t="n"/>
      <c r="C41" s="98" t="n"/>
      <c r="D41" s="98" t="n"/>
      <c r="E41" s="106" t="n"/>
      <c r="F41" s="176" t="n"/>
      <c r="G41" s="108" t="n"/>
      <c r="H41" s="176" t="n"/>
      <c r="I41" s="109" t="n"/>
      <c r="J41" s="109" t="n"/>
      <c r="K41" s="109" t="n"/>
      <c r="L41" s="109" t="n"/>
      <c r="M41" s="109" t="n"/>
      <c r="N41" s="109" t="n"/>
      <c r="O41" s="109">
        <f>IF(OR(IF(K41="",IF(J41="",IF(I41="","",I41),J41),K41)="F", IF(N41="",IF(M41="",IF(L41="","",L41), M41),N41)="F")=TRUE,"F",
IF(OR(IF(K41="",IF(J41="",IF(I41="","",I41),J41),K41)="PE", IF(N41="",IF(M41="",IF(L41="","",L41), M41),N41)="PE")=TRUE,"PE",
IF(AND(IF(K41="",IF(J41="",IF(I41="","",I41),J41),K41)="", IF(N41="",IF(M41="",IF(L41="","",L41), M41),N41)="")=TRUE,"","P")))</f>
        <v/>
      </c>
      <c r="P41" s="176" t="n"/>
      <c r="Q41" s="176" t="n"/>
    </row>
    <row r="42" customFormat="1" s="99">
      <c r="A42" s="176" t="n"/>
      <c r="C42" s="98" t="n"/>
      <c r="D42" s="98" t="n"/>
      <c r="E42" s="106" t="n"/>
      <c r="F42" s="176" t="n"/>
      <c r="G42" s="108" t="n"/>
      <c r="H42" s="176" t="n"/>
      <c r="I42" s="109" t="n"/>
      <c r="J42" s="109" t="n"/>
      <c r="K42" s="109" t="n"/>
      <c r="L42" s="109" t="n"/>
      <c r="M42" s="109" t="n"/>
      <c r="N42" s="109" t="n"/>
      <c r="O42" s="109">
        <f>IF(OR(IF(K42="",IF(J42="",IF(I42="","",I42),J42),K42)="F", IF(N42="",IF(M42="",IF(L42="","",L42), M42),N42)="F")=TRUE,"F",
IF(OR(IF(K42="",IF(J42="",IF(I42="","",I42),J42),K42)="PE", IF(N42="",IF(M42="",IF(L42="","",L42), M42),N42)="PE")=TRUE,"PE",
IF(AND(IF(K42="",IF(J42="",IF(I42="","",I42),J42),K42)="", IF(N42="",IF(M42="",IF(L42="","",L42), M42),N42)="")=TRUE,"","P")))</f>
        <v/>
      </c>
      <c r="P42" s="176" t="n"/>
      <c r="Q42" s="176" t="n"/>
    </row>
    <row r="43" customFormat="1" s="99">
      <c r="A43" s="176" t="n"/>
      <c r="C43" s="98" t="n"/>
      <c r="D43" s="98" t="n"/>
      <c r="E43" s="106" t="n"/>
      <c r="F43" s="176" t="n"/>
      <c r="G43" s="108" t="n"/>
      <c r="H43" s="176" t="n"/>
      <c r="I43" s="109" t="n"/>
      <c r="J43" s="109" t="n"/>
      <c r="K43" s="109" t="n"/>
      <c r="L43" s="109" t="n"/>
      <c r="M43" s="109" t="n"/>
      <c r="N43" s="109" t="n"/>
      <c r="O43" s="109">
        <f>IF(OR(IF(K43="",IF(J43="",IF(I43="","",I43),J43),K43)="F", IF(N43="",IF(M43="",IF(L43="","",L43), M43),N43)="F")=TRUE,"F",
IF(OR(IF(K43="",IF(J43="",IF(I43="","",I43),J43),K43)="PE", IF(N43="",IF(M43="",IF(L43="","",L43), M43),N43)="PE")=TRUE,"PE",
IF(AND(IF(K43="",IF(J43="",IF(I43="","",I43),J43),K43)="", IF(N43="",IF(M43="",IF(L43="","",L43), M43),N43)="")=TRUE,"","P")))</f>
        <v/>
      </c>
      <c r="P43" s="176" t="n"/>
      <c r="Q43" s="176" t="n"/>
    </row>
    <row r="44" customFormat="1" s="99">
      <c r="A44" s="176" t="n"/>
      <c r="C44" s="98" t="n"/>
      <c r="D44" s="98" t="n"/>
      <c r="E44" s="106" t="n"/>
      <c r="F44" s="176" t="n"/>
      <c r="G44" s="108" t="n"/>
      <c r="H44" s="176" t="n"/>
      <c r="I44" s="109" t="n"/>
      <c r="J44" s="109" t="n"/>
      <c r="K44" s="109" t="n"/>
      <c r="L44" s="109" t="n"/>
      <c r="M44" s="109" t="n"/>
      <c r="N44" s="109" t="n"/>
      <c r="O44" s="109">
        <f>IF(OR(IF(K44="",IF(J44="",IF(I44="","",I44),J44),K44)="F", IF(N44="",IF(M44="",IF(L44="","",L44), M44),N44)="F")=TRUE,"F",
IF(OR(IF(K44="",IF(J44="",IF(I44="","",I44),J44),K44)="PE", IF(N44="",IF(M44="",IF(L44="","",L44), M44),N44)="PE")=TRUE,"PE",
IF(AND(IF(K44="",IF(J44="",IF(I44="","",I44),J44),K44)="", IF(N44="",IF(M44="",IF(L44="","",L44), M44),N44)="")=TRUE,"","P")))</f>
        <v/>
      </c>
      <c r="P44" s="176" t="n"/>
      <c r="Q44" s="176" t="n"/>
    </row>
    <row r="45" customFormat="1" s="99">
      <c r="A45" s="176" t="n"/>
      <c r="C45" s="98" t="n"/>
      <c r="D45" s="98" t="n"/>
      <c r="E45" s="106" t="n"/>
      <c r="F45" s="176" t="n"/>
      <c r="G45" s="108" t="n"/>
      <c r="H45" s="176" t="n"/>
      <c r="I45" s="109" t="n"/>
      <c r="J45" s="109" t="n"/>
      <c r="K45" s="109" t="n"/>
      <c r="L45" s="109" t="n"/>
      <c r="M45" s="109" t="n"/>
      <c r="N45" s="109" t="n"/>
      <c r="O45" s="109">
        <f>IF(OR(IF(K45="",IF(J45="",IF(I45="","",I45),J45),K45)="F", IF(N45="",IF(M45="",IF(L45="","",L45), M45),N45)="F")=TRUE,"F",
IF(OR(IF(K45="",IF(J45="",IF(I45="","",I45),J45),K45)="PE", IF(N45="",IF(M45="",IF(L45="","",L45), M45),N45)="PE")=TRUE,"PE",
IF(AND(IF(K45="",IF(J45="",IF(I45="","",I45),J45),K45)="", IF(N45="",IF(M45="",IF(L45="","",L45), M45),N45)="")=TRUE,"","P")))</f>
        <v/>
      </c>
      <c r="P45" s="176" t="n"/>
      <c r="Q45" s="176" t="n"/>
    </row>
    <row r="46" customFormat="1" s="99">
      <c r="A46" s="176" t="n"/>
      <c r="C46" s="98" t="n"/>
      <c r="D46" s="98" t="n"/>
      <c r="E46" s="106" t="n"/>
      <c r="F46" s="176" t="n"/>
      <c r="G46" s="108" t="n"/>
      <c r="H46" s="176" t="n"/>
      <c r="I46" s="109" t="n"/>
      <c r="J46" s="109" t="n"/>
      <c r="K46" s="109" t="n"/>
      <c r="L46" s="109" t="n"/>
      <c r="M46" s="109" t="n"/>
      <c r="N46" s="109" t="n"/>
      <c r="O46" s="109">
        <f>IF(OR(IF(K46="",IF(J46="",IF(I46="","",I46),J46),K46)="F", IF(N46="",IF(M46="",IF(L46="","",L46), M46),N46)="F")=TRUE,"F",
IF(OR(IF(K46="",IF(J46="",IF(I46="","",I46),J46),K46)="PE", IF(N46="",IF(M46="",IF(L46="","",L46), M46),N46)="PE")=TRUE,"PE",
IF(AND(IF(K46="",IF(J46="",IF(I46="","",I46),J46),K46)="", IF(N46="",IF(M46="",IF(L46="","",L46), M46),N46)="")=TRUE,"","P")))</f>
        <v/>
      </c>
      <c r="P46" s="176" t="n"/>
      <c r="Q46" s="176" t="n"/>
    </row>
    <row r="47" customFormat="1" s="99">
      <c r="A47" s="176" t="n"/>
      <c r="C47" s="98" t="n"/>
      <c r="D47" s="98" t="n"/>
      <c r="E47" s="106" t="n"/>
      <c r="F47" s="176" t="n"/>
      <c r="G47" s="108" t="n"/>
      <c r="H47" s="176" t="n"/>
      <c r="I47" s="109" t="n"/>
      <c r="J47" s="109" t="n"/>
      <c r="K47" s="109" t="n"/>
      <c r="L47" s="109" t="n"/>
      <c r="M47" s="109" t="n"/>
      <c r="N47" s="109" t="n"/>
      <c r="O47" s="109">
        <f>IF(OR(IF(K47="",IF(J47="",IF(I47="","",I47),J47),K47)="F", IF(N47="",IF(M47="",IF(L47="","",L47), M47),N47)="F")=TRUE,"F",
IF(OR(IF(K47="",IF(J47="",IF(I47="","",I47),J47),K47)="PE", IF(N47="",IF(M47="",IF(L47="","",L47), M47),N47)="PE")=TRUE,"PE",
IF(AND(IF(K47="",IF(J47="",IF(I47="","",I47),J47),K47)="", IF(N47="",IF(M47="",IF(L47="","",L47), M47),N47)="")=TRUE,"","P")))</f>
        <v/>
      </c>
      <c r="P47" s="176" t="n"/>
      <c r="Q47" s="176" t="n"/>
    </row>
    <row r="48" customFormat="1" s="99">
      <c r="A48" s="176" t="n"/>
      <c r="C48" s="98" t="n"/>
      <c r="D48" s="98" t="n"/>
      <c r="E48" s="106" t="n"/>
      <c r="F48" s="176" t="n"/>
      <c r="G48" s="108" t="n"/>
      <c r="H48" s="176" t="n"/>
      <c r="I48" s="109" t="n"/>
      <c r="J48" s="109" t="n"/>
      <c r="K48" s="109" t="n"/>
      <c r="L48" s="109" t="n"/>
      <c r="M48" s="109" t="n"/>
      <c r="N48" s="109" t="n"/>
      <c r="O48" s="109">
        <f>IF(OR(IF(K48="",IF(J48="",IF(I48="","",I48),J48),K48)="F", IF(N48="",IF(M48="",IF(L48="","",L48), M48),N48)="F")=TRUE,"F",
IF(OR(IF(K48="",IF(J48="",IF(I48="","",I48),J48),K48)="PE", IF(N48="",IF(M48="",IF(L48="","",L48), M48),N48)="PE")=TRUE,"PE",
IF(AND(IF(K48="",IF(J48="",IF(I48="","",I48),J48),K48)="", IF(N48="",IF(M48="",IF(L48="","",L48), M48),N48)="")=TRUE,"","P")))</f>
        <v/>
      </c>
      <c r="P48" s="176" t="n"/>
      <c r="Q48" s="176" t="n"/>
    </row>
    <row r="49" customFormat="1" s="99">
      <c r="A49" s="176" t="n"/>
      <c r="C49" s="98" t="n"/>
      <c r="D49" s="98" t="n"/>
      <c r="E49" s="106" t="n"/>
      <c r="F49" s="176" t="n"/>
      <c r="G49" s="108" t="n"/>
      <c r="H49" s="176" t="n"/>
      <c r="I49" s="109" t="n"/>
      <c r="J49" s="109" t="n"/>
      <c r="K49" s="109" t="n"/>
      <c r="L49" s="109" t="n"/>
      <c r="M49" s="109" t="n"/>
      <c r="N49" s="109" t="n"/>
      <c r="O49" s="109">
        <f>IF(OR(IF(K49="",IF(J49="",IF(I49="","",I49),J49),K49)="F", IF(N49="",IF(M49="",IF(L49="","",L49), M49),N49)="F")=TRUE,"F",
IF(OR(IF(K49="",IF(J49="",IF(I49="","",I49),J49),K49)="PE", IF(N49="",IF(M49="",IF(L49="","",L49), M49),N49)="PE")=TRUE,"PE",
IF(AND(IF(K49="",IF(J49="",IF(I49="","",I49),J49),K49)="", IF(N49="",IF(M49="",IF(L49="","",L49), M49),N49)="")=TRUE,"","P")))</f>
        <v/>
      </c>
      <c r="P49" s="176" t="n"/>
      <c r="Q49" s="176" t="n"/>
    </row>
    <row r="50" customFormat="1" s="99">
      <c r="A50" s="176" t="n"/>
      <c r="C50" s="98" t="n"/>
      <c r="D50" s="98" t="n"/>
      <c r="E50" s="106" t="n"/>
      <c r="F50" s="176" t="n"/>
      <c r="G50" s="108" t="n"/>
      <c r="H50" s="176" t="n"/>
      <c r="I50" s="109" t="n"/>
      <c r="J50" s="109" t="n"/>
      <c r="K50" s="109" t="n"/>
      <c r="L50" s="109" t="n"/>
      <c r="M50" s="109" t="n"/>
      <c r="N50" s="109" t="n"/>
      <c r="O50" s="109">
        <f>IF(OR(IF(K50="",IF(J50="",IF(I50="","",I50),J50),K50)="F", IF(N50="",IF(M50="",IF(L50="","",L50), M50),N50)="F")=TRUE,"F",
IF(OR(IF(K50="",IF(J50="",IF(I50="","",I50),J50),K50)="PE", IF(N50="",IF(M50="",IF(L50="","",L50), M50),N50)="PE")=TRUE,"PE",
IF(AND(IF(K50="",IF(J50="",IF(I50="","",I50),J50),K50)="", IF(N50="",IF(M50="",IF(L50="","",L50), M50),N50)="")=TRUE,"","P")))</f>
        <v/>
      </c>
      <c r="P50" s="176" t="n"/>
      <c r="Q50" s="176" t="n"/>
    </row>
    <row r="51" customFormat="1" s="99">
      <c r="A51" s="176" t="n"/>
      <c r="C51" s="98" t="n"/>
      <c r="D51" s="98" t="n"/>
      <c r="E51" s="106" t="n"/>
      <c r="F51" s="176" t="n"/>
      <c r="G51" s="108" t="n"/>
      <c r="H51" s="176" t="n"/>
      <c r="I51" s="109" t="n"/>
      <c r="J51" s="109" t="n"/>
      <c r="K51" s="109" t="n"/>
      <c r="L51" s="109" t="n"/>
      <c r="M51" s="109" t="n"/>
      <c r="N51" s="109" t="n"/>
      <c r="O51" s="109">
        <f>IF(OR(IF(K51="",IF(J51="",IF(I51="","",I51),J51),K51)="F", IF(N51="",IF(M51="",IF(L51="","",L51), M51),N51)="F")=TRUE,"F",
IF(OR(IF(K51="",IF(J51="",IF(I51="","",I51),J51),K51)="PE", IF(N51="",IF(M51="",IF(L51="","",L51), M51),N51)="PE")=TRUE,"PE",
IF(AND(IF(K51="",IF(J51="",IF(I51="","",I51),J51),K51)="", IF(N51="",IF(M51="",IF(L51="","",L51), M51),N51)="")=TRUE,"","P")))</f>
        <v/>
      </c>
      <c r="P51" s="176" t="n"/>
      <c r="Q51" s="176" t="n"/>
    </row>
    <row r="52" customFormat="1" s="99">
      <c r="A52" s="176" t="n"/>
      <c r="C52" s="98" t="n"/>
      <c r="D52" s="98" t="n"/>
      <c r="E52" s="106" t="n"/>
      <c r="F52" s="176" t="n"/>
      <c r="G52" s="108" t="n"/>
      <c r="H52" s="176" t="n"/>
      <c r="I52" s="109" t="n"/>
      <c r="J52" s="109" t="n"/>
      <c r="K52" s="109" t="n"/>
      <c r="L52" s="109" t="n"/>
      <c r="M52" s="109" t="n"/>
      <c r="N52" s="109" t="n"/>
      <c r="O52" s="109">
        <f>IF(OR(IF(K52="",IF(J52="",IF(I52="","",I52),J52),K52)="F", IF(N52="",IF(M52="",IF(L52="","",L52), M52),N52)="F")=TRUE,"F",
IF(OR(IF(K52="",IF(J52="",IF(I52="","",I52),J52),K52)="PE", IF(N52="",IF(M52="",IF(L52="","",L52), M52),N52)="PE")=TRUE,"PE",
IF(AND(IF(K52="",IF(J52="",IF(I52="","",I52),J52),K52)="", IF(N52="",IF(M52="",IF(L52="","",L52), M52),N52)="")=TRUE,"","P")))</f>
        <v/>
      </c>
      <c r="P52" s="176" t="n"/>
      <c r="Q52" s="176" t="n"/>
    </row>
    <row r="53" customFormat="1" s="99">
      <c r="A53" s="176" t="n"/>
      <c r="C53" s="98" t="n"/>
      <c r="D53" s="98" t="n"/>
      <c r="E53" s="106" t="n"/>
      <c r="F53" s="176" t="n"/>
      <c r="G53" s="108" t="n"/>
      <c r="H53" s="176" t="n"/>
      <c r="I53" s="109" t="n"/>
      <c r="J53" s="109" t="n"/>
      <c r="K53" s="109" t="n"/>
      <c r="L53" s="109" t="n"/>
      <c r="M53" s="109" t="n"/>
      <c r="N53" s="109" t="n"/>
      <c r="O53" s="109">
        <f>IF(OR(IF(K53="",IF(J53="",IF(I53="","",I53),J53),K53)="F", IF(N53="",IF(M53="",IF(L53="","",L53), M53),N53)="F")=TRUE,"F",
IF(OR(IF(K53="",IF(J53="",IF(I53="","",I53),J53),K53)="PE", IF(N53="",IF(M53="",IF(L53="","",L53), M53),N53)="PE")=TRUE,"PE",
IF(AND(IF(K53="",IF(J53="",IF(I53="","",I53),J53),K53)="", IF(N53="",IF(M53="",IF(L53="","",L53), M53),N53)="")=TRUE,"","P")))</f>
        <v/>
      </c>
      <c r="P53" s="176" t="n"/>
      <c r="Q53" s="176" t="n"/>
    </row>
    <row r="54" customFormat="1" s="99">
      <c r="A54" s="176" t="n"/>
      <c r="C54" s="98" t="n"/>
      <c r="D54" s="98" t="n"/>
      <c r="E54" s="106" t="n"/>
      <c r="F54" s="176" t="n"/>
      <c r="G54" s="108" t="n"/>
      <c r="H54" s="176" t="n"/>
      <c r="I54" s="109" t="n"/>
      <c r="J54" s="109" t="n"/>
      <c r="K54" s="109" t="n"/>
      <c r="L54" s="109" t="n"/>
      <c r="M54" s="109" t="n"/>
      <c r="N54" s="109" t="n"/>
      <c r="O54" s="109">
        <f>IF(OR(IF(K54="",IF(J54="",IF(I54="","",I54),J54),K54)="F", IF(N54="",IF(M54="",IF(L54="","",L54), M54),N54)="F")=TRUE,"F",
IF(OR(IF(K54="",IF(J54="",IF(I54="","",I54),J54),K54)="PE", IF(N54="",IF(M54="",IF(L54="","",L54), M54),N54)="PE")=TRUE,"PE",
IF(AND(IF(K54="",IF(J54="",IF(I54="","",I54),J54),K54)="", IF(N54="",IF(M54="",IF(L54="","",L54), M54),N54)="")=TRUE,"","P")))</f>
        <v/>
      </c>
      <c r="P54" s="176" t="n"/>
      <c r="Q54" s="176" t="n"/>
    </row>
    <row r="55" customFormat="1" s="99">
      <c r="A55" s="176" t="n"/>
      <c r="C55" s="98" t="n"/>
      <c r="D55" s="98" t="n"/>
      <c r="E55" s="106" t="n"/>
      <c r="F55" s="176" t="n"/>
      <c r="G55" s="108" t="n"/>
      <c r="H55" s="176" t="n"/>
      <c r="I55" s="109" t="n"/>
      <c r="J55" s="109" t="n"/>
      <c r="K55" s="109" t="n"/>
      <c r="L55" s="109" t="n"/>
      <c r="M55" s="109" t="n"/>
      <c r="N55" s="109" t="n"/>
      <c r="O55" s="109">
        <f>IF(OR(IF(K55="",IF(J55="",IF(I55="","",I55),J55),K55)="F", IF(N55="",IF(M55="",IF(L55="","",L55), M55),N55)="F")=TRUE,"F",
IF(OR(IF(K55="",IF(J55="",IF(I55="","",I55),J55),K55)="PE", IF(N55="",IF(M55="",IF(L55="","",L55), M55),N55)="PE")=TRUE,"PE",
IF(AND(IF(K55="",IF(J55="",IF(I55="","",I55),J55),K55)="", IF(N55="",IF(M55="",IF(L55="","",L55), M55),N55)="")=TRUE,"","P")))</f>
        <v/>
      </c>
      <c r="P55" s="176" t="n"/>
      <c r="Q55" s="176" t="n"/>
    </row>
    <row r="56" customFormat="1" s="99">
      <c r="A56" s="176" t="n"/>
      <c r="C56" s="98" t="n"/>
      <c r="D56" s="98" t="n"/>
      <c r="E56" s="106" t="n"/>
      <c r="F56" s="176" t="n"/>
      <c r="G56" s="108" t="n"/>
      <c r="H56" s="176" t="n"/>
      <c r="I56" s="109" t="n"/>
      <c r="J56" s="109" t="n"/>
      <c r="K56" s="109" t="n"/>
      <c r="L56" s="109" t="n"/>
      <c r="M56" s="109" t="n"/>
      <c r="N56" s="109" t="n"/>
      <c r="O56" s="109">
        <f>IF(OR(IF(K56="",IF(J56="",IF(I56="","",I56),J56),K56)="F", IF(N56="",IF(M56="",IF(L56="","",L56), M56),N56)="F")=TRUE,"F",
IF(OR(IF(K56="",IF(J56="",IF(I56="","",I56),J56),K56)="PE", IF(N56="",IF(M56="",IF(L56="","",L56), M56),N56)="PE")=TRUE,"PE",
IF(AND(IF(K56="",IF(J56="",IF(I56="","",I56),J56),K56)="", IF(N56="",IF(M56="",IF(L56="","",L56), M56),N56)="")=TRUE,"","P")))</f>
        <v/>
      </c>
      <c r="P56" s="176" t="n"/>
      <c r="Q56" s="176" t="n"/>
    </row>
    <row r="57" customFormat="1" s="99">
      <c r="A57" s="176" t="n"/>
      <c r="C57" s="98" t="n"/>
      <c r="D57" s="98" t="n"/>
      <c r="E57" s="106" t="n"/>
      <c r="F57" s="176" t="n"/>
      <c r="G57" s="108" t="n"/>
      <c r="H57" s="176" t="n"/>
      <c r="I57" s="109" t="n"/>
      <c r="J57" s="109" t="n"/>
      <c r="K57" s="109" t="n"/>
      <c r="L57" s="109" t="n"/>
      <c r="M57" s="109" t="n"/>
      <c r="N57" s="109" t="n"/>
      <c r="O57" s="109">
        <f>IF(OR(IF(K57="",IF(J57="",IF(I57="","",I57),J57),K57)="F", IF(N57="",IF(M57="",IF(L57="","",L57), M57),N57)="F")=TRUE,"F",
IF(OR(IF(K57="",IF(J57="",IF(I57="","",I57),J57),K57)="PE", IF(N57="",IF(M57="",IF(L57="","",L57), M57),N57)="PE")=TRUE,"PE",
IF(AND(IF(K57="",IF(J57="",IF(I57="","",I57),J57),K57)="", IF(N57="",IF(M57="",IF(L57="","",L57), M57),N57)="")=TRUE,"","P")))</f>
        <v/>
      </c>
      <c r="P57" s="176" t="n"/>
      <c r="Q57" s="176" t="n"/>
    </row>
    <row r="58" customFormat="1" s="99">
      <c r="A58" s="176" t="n"/>
      <c r="C58" s="98" t="n"/>
      <c r="D58" s="98" t="n"/>
      <c r="E58" s="106" t="n"/>
      <c r="F58" s="176" t="n"/>
      <c r="G58" s="108" t="n"/>
      <c r="H58" s="176" t="n"/>
      <c r="I58" s="109" t="n"/>
      <c r="J58" s="109" t="n"/>
      <c r="K58" s="109" t="n"/>
      <c r="L58" s="109" t="n"/>
      <c r="M58" s="109" t="n"/>
      <c r="N58" s="109" t="n"/>
      <c r="O58" s="109">
        <f>IF(OR(IF(K58="",IF(J58="",IF(I58="","",I58),J58),K58)="F", IF(N58="",IF(M58="",IF(L58="","",L58), M58),N58)="F")=TRUE,"F",
IF(OR(IF(K58="",IF(J58="",IF(I58="","",I58),J58),K58)="PE", IF(N58="",IF(M58="",IF(L58="","",L58), M58),N58)="PE")=TRUE,"PE",
IF(AND(IF(K58="",IF(J58="",IF(I58="","",I58),J58),K58)="", IF(N58="",IF(M58="",IF(L58="","",L58), M58),N58)="")=TRUE,"","P")))</f>
        <v/>
      </c>
      <c r="P58" s="176" t="n"/>
      <c r="Q58" s="176" t="n"/>
    </row>
    <row r="59" customFormat="1" s="99">
      <c r="A59" s="176" t="n"/>
      <c r="C59" s="98" t="n"/>
      <c r="D59" s="98" t="n"/>
      <c r="E59" s="106" t="n"/>
      <c r="F59" s="176" t="n"/>
      <c r="G59" s="108" t="n"/>
      <c r="H59" s="176" t="n"/>
      <c r="I59" s="109" t="n"/>
      <c r="J59" s="109" t="n"/>
      <c r="K59" s="109" t="n"/>
      <c r="L59" s="109" t="n"/>
      <c r="M59" s="109" t="n"/>
      <c r="N59" s="109" t="n"/>
      <c r="O59" s="109">
        <f>IF(OR(IF(K59="",IF(J59="",IF(I59="","",I59),J59),K59)="F", IF(N59="",IF(M59="",IF(L59="","",L59), M59),N59)="F")=TRUE,"F",
IF(OR(IF(K59="",IF(J59="",IF(I59="","",I59),J59),K59)="PE", IF(N59="",IF(M59="",IF(L59="","",L59), M59),N59)="PE")=TRUE,"PE",
IF(AND(IF(K59="",IF(J59="",IF(I59="","",I59),J59),K59)="", IF(N59="",IF(M59="",IF(L59="","",L59), M59),N59)="")=TRUE,"","P")))</f>
        <v/>
      </c>
      <c r="P59" s="176" t="n"/>
      <c r="Q59" s="176" t="n"/>
    </row>
    <row r="60" customFormat="1" s="99">
      <c r="A60" s="176" t="n"/>
      <c r="C60" s="98" t="n"/>
      <c r="D60" s="98" t="n"/>
      <c r="E60" s="106" t="n"/>
      <c r="F60" s="176" t="n"/>
      <c r="G60" s="108" t="n"/>
      <c r="H60" s="176" t="n"/>
      <c r="I60" s="109" t="n"/>
      <c r="J60" s="109" t="n"/>
      <c r="K60" s="109" t="n"/>
      <c r="L60" s="109" t="n"/>
      <c r="M60" s="109" t="n"/>
      <c r="N60" s="109" t="n"/>
      <c r="O60" s="109">
        <f>IF(OR(IF(K60="",IF(J60="",IF(I60="","",I60),J60),K60)="F", IF(N60="",IF(M60="",IF(L60="","",L60), M60),N60)="F")=TRUE,"F",
IF(OR(IF(K60="",IF(J60="",IF(I60="","",I60),J60),K60)="PE", IF(N60="",IF(M60="",IF(L60="","",L60), M60),N60)="PE")=TRUE,"PE",
IF(AND(IF(K60="",IF(J60="",IF(I60="","",I60),J60),K60)="", IF(N60="",IF(M60="",IF(L60="","",L60), M60),N60)="")=TRUE,"","P")))</f>
        <v/>
      </c>
      <c r="P60" s="176" t="n"/>
      <c r="Q60" s="176" t="n"/>
    </row>
    <row r="61" customFormat="1" s="99">
      <c r="A61" s="176" t="n"/>
      <c r="C61" s="98" t="n"/>
      <c r="D61" s="98" t="n"/>
      <c r="E61" s="106" t="n"/>
      <c r="F61" s="176" t="n"/>
      <c r="G61" s="108" t="n"/>
      <c r="H61" s="176" t="n"/>
      <c r="I61" s="109" t="n"/>
      <c r="J61" s="109" t="n"/>
      <c r="K61" s="109" t="n"/>
      <c r="L61" s="109" t="n"/>
      <c r="M61" s="109" t="n"/>
      <c r="N61" s="109" t="n"/>
      <c r="O61" s="109">
        <f>IF(OR(IF(K61="",IF(J61="",IF(I61="","",I61),J61),K61)="F", IF(N61="",IF(M61="",IF(L61="","",L61), M61),N61)="F")=TRUE,"F",
IF(OR(IF(K61="",IF(J61="",IF(I61="","",I61),J61),K61)="PE", IF(N61="",IF(M61="",IF(L61="","",L61), M61),N61)="PE")=TRUE,"PE",
IF(AND(IF(K61="",IF(J61="",IF(I61="","",I61),J61),K61)="", IF(N61="",IF(M61="",IF(L61="","",L61), M61),N61)="")=TRUE,"","P")))</f>
        <v/>
      </c>
      <c r="P61" s="176" t="n"/>
      <c r="Q61" s="176" t="n"/>
    </row>
    <row r="62" customFormat="1" s="99">
      <c r="A62" s="176" t="n"/>
      <c r="C62" s="98" t="n"/>
      <c r="D62" s="98" t="n"/>
      <c r="E62" s="106" t="n"/>
      <c r="F62" s="176" t="n"/>
      <c r="G62" s="108" t="n"/>
      <c r="H62" s="176" t="n"/>
      <c r="I62" s="109" t="n"/>
      <c r="J62" s="109" t="n"/>
      <c r="K62" s="109" t="n"/>
      <c r="L62" s="109" t="n"/>
      <c r="M62" s="109" t="n"/>
      <c r="N62" s="109" t="n"/>
      <c r="O62" s="109">
        <f>IF(OR(IF(K62="",IF(J62="",IF(I62="","",I62),J62),K62)="F", IF(N62="",IF(M62="",IF(L62="","",L62), M62),N62)="F")=TRUE,"F",
IF(OR(IF(K62="",IF(J62="",IF(I62="","",I62),J62),K62)="PE", IF(N62="",IF(M62="",IF(L62="","",L62), M62),N62)="PE")=TRUE,"PE",
IF(AND(IF(K62="",IF(J62="",IF(I62="","",I62),J62),K62)="", IF(N62="",IF(M62="",IF(L62="","",L62), M62),N62)="")=TRUE,"","P")))</f>
        <v/>
      </c>
      <c r="P62" s="176" t="n"/>
      <c r="Q62" s="176" t="n"/>
    </row>
    <row r="63" customFormat="1" s="99">
      <c r="A63" s="176" t="n"/>
      <c r="C63" s="98" t="n"/>
      <c r="D63" s="98" t="n"/>
      <c r="E63" s="106" t="n"/>
      <c r="F63" s="176" t="n"/>
      <c r="G63" s="108" t="n"/>
      <c r="H63" s="176" t="n"/>
      <c r="I63" s="109" t="n"/>
      <c r="J63" s="109" t="n"/>
      <c r="K63" s="109" t="n"/>
      <c r="L63" s="109" t="n"/>
      <c r="M63" s="109" t="n"/>
      <c r="N63" s="109" t="n"/>
      <c r="O63" s="109">
        <f>IF(OR(IF(K63="",IF(J63="",IF(I63="","",I63),J63),K63)="F", IF(N63="",IF(M63="",IF(L63="","",L63), M63),N63)="F")=TRUE,"F",
IF(OR(IF(K63="",IF(J63="",IF(I63="","",I63),J63),K63)="PE", IF(N63="",IF(M63="",IF(L63="","",L63), M63),N63)="PE")=TRUE,"PE",
IF(AND(IF(K63="",IF(J63="",IF(I63="","",I63),J63),K63)="", IF(N63="",IF(M63="",IF(L63="","",L63), M63),N63)="")=TRUE,"","P")))</f>
        <v/>
      </c>
      <c r="P63" s="176" t="n"/>
      <c r="Q63" s="176" t="n"/>
    </row>
    <row r="64" customFormat="1" s="99">
      <c r="A64" s="176" t="n"/>
      <c r="C64" s="98" t="n"/>
      <c r="D64" s="98" t="n"/>
      <c r="E64" s="106" t="n"/>
      <c r="F64" s="176" t="n"/>
      <c r="G64" s="108" t="n"/>
      <c r="H64" s="176" t="n"/>
      <c r="I64" s="109" t="n"/>
      <c r="J64" s="109" t="n"/>
      <c r="K64" s="109" t="n"/>
      <c r="L64" s="109" t="n"/>
      <c r="M64" s="109" t="n"/>
      <c r="N64" s="109" t="n"/>
      <c r="O64" s="109">
        <f>IF(OR(IF(K64="",IF(J64="",IF(I64="","",I64),J64),K64)="F", IF(N64="",IF(M64="",IF(L64="","",L64), M64),N64)="F")=TRUE,"F",
IF(OR(IF(K64="",IF(J64="",IF(I64="","",I64),J64),K64)="PE", IF(N64="",IF(M64="",IF(L64="","",L64), M64),N64)="PE")=TRUE,"PE",
IF(AND(IF(K64="",IF(J64="",IF(I64="","",I64),J64),K64)="", IF(N64="",IF(M64="",IF(L64="","",L64), M64),N64)="")=TRUE,"","P")))</f>
        <v/>
      </c>
      <c r="P64" s="176" t="n"/>
      <c r="Q64" s="176" t="n"/>
    </row>
    <row r="65" customFormat="1" s="99">
      <c r="A65" s="176" t="n"/>
      <c r="C65" s="98" t="n"/>
      <c r="D65" s="98" t="n"/>
      <c r="E65" s="106" t="n"/>
      <c r="F65" s="176" t="n"/>
      <c r="G65" s="108" t="n"/>
      <c r="H65" s="176" t="n"/>
      <c r="I65" s="109" t="n"/>
      <c r="J65" s="109" t="n"/>
      <c r="K65" s="109" t="n"/>
      <c r="L65" s="109" t="n"/>
      <c r="M65" s="109" t="n"/>
      <c r="N65" s="109" t="n"/>
      <c r="O65" s="109">
        <f>IF(OR(IF(K65="",IF(J65="",IF(I65="","",I65),J65),K65)="F", IF(N65="",IF(M65="",IF(L65="","",L65), M65),N65)="F")=TRUE,"F",
IF(OR(IF(K65="",IF(J65="",IF(I65="","",I65),J65),K65)="PE", IF(N65="",IF(M65="",IF(L65="","",L65), M65),N65)="PE")=TRUE,"PE",
IF(AND(IF(K65="",IF(J65="",IF(I65="","",I65),J65),K65)="", IF(N65="",IF(M65="",IF(L65="","",L65), M65),N65)="")=TRUE,"","P")))</f>
        <v/>
      </c>
      <c r="P65" s="176" t="n"/>
      <c r="Q65" s="176" t="n"/>
    </row>
    <row r="66" customFormat="1" s="99">
      <c r="A66" s="176" t="n"/>
      <c r="C66" s="98" t="n"/>
      <c r="D66" s="98" t="n"/>
      <c r="E66" s="106" t="n"/>
      <c r="F66" s="176" t="n"/>
      <c r="G66" s="108" t="n"/>
      <c r="H66" s="176" t="n"/>
      <c r="I66" s="109" t="n"/>
      <c r="J66" s="109" t="n"/>
      <c r="K66" s="109" t="n"/>
      <c r="L66" s="109" t="n"/>
      <c r="M66" s="109" t="n"/>
      <c r="N66" s="109" t="n"/>
      <c r="O66" s="109">
        <f>IF(OR(IF(K66="",IF(J66="",IF(I66="","",I66),J66),K66)="F", IF(N66="",IF(M66="",IF(L66="","",L66), M66),N66)="F")=TRUE,"F",
IF(OR(IF(K66="",IF(J66="",IF(I66="","",I66),J66),K66)="PE", IF(N66="",IF(M66="",IF(L66="","",L66), M66),N66)="PE")=TRUE,"PE",
IF(AND(IF(K66="",IF(J66="",IF(I66="","",I66),J66),K66)="", IF(N66="",IF(M66="",IF(L66="","",L66), M66),N66)="")=TRUE,"","P")))</f>
        <v/>
      </c>
      <c r="P66" s="176" t="n"/>
      <c r="Q66" s="176" t="n"/>
    </row>
    <row r="67" customFormat="1" s="99">
      <c r="A67" s="176" t="n"/>
      <c r="C67" s="98" t="n"/>
      <c r="D67" s="98" t="n"/>
      <c r="E67" s="106" t="n"/>
      <c r="F67" s="176" t="n"/>
      <c r="G67" s="108" t="n"/>
      <c r="H67" s="176" t="n"/>
      <c r="I67" s="109" t="n"/>
      <c r="J67" s="109" t="n"/>
      <c r="K67" s="109" t="n"/>
      <c r="L67" s="109" t="n"/>
      <c r="M67" s="109" t="n"/>
      <c r="N67" s="109" t="n"/>
      <c r="O67" s="109">
        <f>IF(OR(IF(K67="",IF(J67="",IF(I67="","",I67),J67),K67)="F", IF(N67="",IF(M67="",IF(L67="","",L67), M67),N67)="F")=TRUE,"F",
IF(OR(IF(K67="",IF(J67="",IF(I67="","",I67),J67),K67)="PE", IF(N67="",IF(M67="",IF(L67="","",L67), M67),N67)="PE")=TRUE,"PE",
IF(AND(IF(K67="",IF(J67="",IF(I67="","",I67),J67),K67)="", IF(N67="",IF(M67="",IF(L67="","",L67), M67),N67)="")=TRUE,"","P")))</f>
        <v/>
      </c>
      <c r="P67" s="176" t="n"/>
      <c r="Q67" s="176" t="n"/>
    </row>
    <row r="68" customFormat="1" s="99">
      <c r="A68" s="176" t="n"/>
      <c r="C68" s="98" t="n"/>
      <c r="D68" s="98" t="n"/>
      <c r="E68" s="106" t="n"/>
      <c r="F68" s="176" t="n"/>
      <c r="G68" s="108" t="n"/>
      <c r="H68" s="176" t="n"/>
      <c r="I68" s="109" t="n"/>
      <c r="J68" s="109" t="n"/>
      <c r="K68" s="109" t="n"/>
      <c r="L68" s="109" t="n"/>
      <c r="M68" s="109" t="n"/>
      <c r="N68" s="109" t="n"/>
      <c r="O68" s="109">
        <f>IF(OR(IF(K68="",IF(J68="",IF(I68="","",I68),J68),K68)="F", IF(N68="",IF(M68="",IF(L68="","",L68), M68),N68)="F")=TRUE,"F",
IF(OR(IF(K68="",IF(J68="",IF(I68="","",I68),J68),K68)="PE", IF(N68="",IF(M68="",IF(L68="","",L68), M68),N68)="PE")=TRUE,"PE",
IF(AND(IF(K68="",IF(J68="",IF(I68="","",I68),J68),K68)="", IF(N68="",IF(M68="",IF(L68="","",L68), M68),N68)="")=TRUE,"","P")))</f>
        <v/>
      </c>
      <c r="P68" s="176" t="n"/>
      <c r="Q68" s="176" t="n"/>
    </row>
    <row r="69" customFormat="1" s="99">
      <c r="A69" s="176" t="n"/>
      <c r="C69" s="98" t="n"/>
      <c r="D69" s="98" t="n"/>
      <c r="E69" s="106" t="n"/>
      <c r="F69" s="176" t="n"/>
      <c r="G69" s="108" t="n"/>
      <c r="H69" s="176" t="n"/>
      <c r="I69" s="109" t="n"/>
      <c r="J69" s="109" t="n"/>
      <c r="K69" s="109" t="n"/>
      <c r="L69" s="109" t="n"/>
      <c r="M69" s="109" t="n"/>
      <c r="N69" s="109" t="n"/>
      <c r="O69" s="109">
        <f>IF(OR(IF(K69="",IF(J69="",IF(I69="","",I69),J69),K69)="F", IF(N69="",IF(M69="",IF(L69="","",L69), M69),N69)="F")=TRUE,"F",
IF(OR(IF(K69="",IF(J69="",IF(I69="","",I69),J69),K69)="PE", IF(N69="",IF(M69="",IF(L69="","",L69), M69),N69)="PE")=TRUE,"PE",
IF(AND(IF(K69="",IF(J69="",IF(I69="","",I69),J69),K69)="", IF(N69="",IF(M69="",IF(L69="","",L69), M69),N69)="")=TRUE,"","P")))</f>
        <v/>
      </c>
      <c r="P69" s="176" t="n"/>
      <c r="Q69" s="176" t="n"/>
    </row>
    <row r="70" customFormat="1" s="99">
      <c r="A70" s="176" t="n"/>
      <c r="C70" s="98" t="n"/>
      <c r="D70" s="98" t="n"/>
      <c r="E70" s="106" t="n"/>
      <c r="F70" s="176" t="n"/>
      <c r="G70" s="108" t="n"/>
      <c r="H70" s="176" t="n"/>
      <c r="I70" s="109" t="n"/>
      <c r="J70" s="109" t="n"/>
      <c r="K70" s="109" t="n"/>
      <c r="L70" s="109" t="n"/>
      <c r="M70" s="109" t="n"/>
      <c r="N70" s="109" t="n"/>
      <c r="O70" s="109">
        <f>IF(OR(IF(K70="",IF(J70="",IF(I70="","",I70),J70),K70)="F", IF(N70="",IF(M70="",IF(L70="","",L70), M70),N70)="F")=TRUE,"F",
IF(OR(IF(K70="",IF(J70="",IF(I70="","",I70),J70),K70)="PE", IF(N70="",IF(M70="",IF(L70="","",L70), M70),N70)="PE")=TRUE,"PE",
IF(AND(IF(K70="",IF(J70="",IF(I70="","",I70),J70),K70)="", IF(N70="",IF(M70="",IF(L70="","",L70), M70),N70)="")=TRUE,"","P")))</f>
        <v/>
      </c>
      <c r="P70" s="176" t="n"/>
      <c r="Q70" s="176" t="n"/>
    </row>
    <row r="71" customFormat="1" s="99">
      <c r="A71" s="176" t="n"/>
      <c r="C71" s="98" t="n"/>
      <c r="D71" s="98" t="n"/>
      <c r="E71" s="106" t="n"/>
      <c r="F71" s="176" t="n"/>
      <c r="G71" s="108" t="n"/>
      <c r="H71" s="176" t="n"/>
      <c r="I71" s="109" t="n"/>
      <c r="J71" s="109" t="n"/>
      <c r="K71" s="109" t="n"/>
      <c r="L71" s="109" t="n"/>
      <c r="M71" s="109" t="n"/>
      <c r="N71" s="109" t="n"/>
      <c r="O71" s="109">
        <f>IF(OR(IF(K71="",IF(J71="",IF(I71="","",I71),J71),K71)="F", IF(N71="",IF(M71="",IF(L71="","",L71), M71),N71)="F")=TRUE,"F",
IF(OR(IF(K71="",IF(J71="",IF(I71="","",I71),J71),K71)="PE", IF(N71="",IF(M71="",IF(L71="","",L71), M71),N71)="PE")=TRUE,"PE",
IF(AND(IF(K71="",IF(J71="",IF(I71="","",I71),J71),K71)="", IF(N71="",IF(M71="",IF(L71="","",L71), M71),N71)="")=TRUE,"","P")))</f>
        <v/>
      </c>
      <c r="P71" s="176" t="n"/>
      <c r="Q71" s="176" t="n"/>
    </row>
    <row r="72" customFormat="1" s="99">
      <c r="A72" s="176" t="n"/>
      <c r="C72" s="98" t="n"/>
      <c r="D72" s="98" t="n"/>
      <c r="E72" s="106" t="n"/>
      <c r="F72" s="176" t="n"/>
      <c r="G72" s="108" t="n"/>
      <c r="H72" s="176" t="n"/>
      <c r="I72" s="109" t="n"/>
      <c r="J72" s="109" t="n"/>
      <c r="K72" s="109" t="n"/>
      <c r="L72" s="109" t="n"/>
      <c r="M72" s="109" t="n"/>
      <c r="N72" s="109" t="n"/>
      <c r="O72" s="109">
        <f>IF(OR(IF(K72="",IF(J72="",IF(I72="","",I72),J72),K72)="F", IF(N72="",IF(M72="",IF(L72="","",L72), M72),N72)="F")=TRUE,"F",
IF(OR(IF(K72="",IF(J72="",IF(I72="","",I72),J72),K72)="PE", IF(N72="",IF(M72="",IF(L72="","",L72), M72),N72)="PE")=TRUE,"PE",
IF(AND(IF(K72="",IF(J72="",IF(I72="","",I72),J72),K72)="", IF(N72="",IF(M72="",IF(L72="","",L72), M72),N72)="")=TRUE,"","P")))</f>
        <v/>
      </c>
      <c r="P72" s="176" t="n"/>
      <c r="Q72" s="176" t="n"/>
    </row>
    <row r="73" customFormat="1" s="99">
      <c r="A73" s="176" t="n"/>
      <c r="C73" s="98" t="n"/>
      <c r="D73" s="98" t="n"/>
      <c r="E73" s="106" t="n"/>
      <c r="F73" s="176" t="n"/>
      <c r="G73" s="108" t="n"/>
      <c r="H73" s="176" t="n"/>
      <c r="I73" s="109" t="n"/>
      <c r="J73" s="109" t="n"/>
      <c r="K73" s="109" t="n"/>
      <c r="L73" s="109" t="n"/>
      <c r="M73" s="109" t="n"/>
      <c r="N73" s="109" t="n"/>
      <c r="O73" s="109">
        <f>IF(OR(IF(K73="",IF(J73="",IF(I73="","",I73),J73),K73)="F", IF(N73="",IF(M73="",IF(L73="","",L73), M73),N73)="F")=TRUE,"F",
IF(OR(IF(K73="",IF(J73="",IF(I73="","",I73),J73),K73)="PE", IF(N73="",IF(M73="",IF(L73="","",L73), M73),N73)="PE")=TRUE,"PE",
IF(AND(IF(K73="",IF(J73="",IF(I73="","",I73),J73),K73)="", IF(N73="",IF(M73="",IF(L73="","",L73), M73),N73)="")=TRUE,"","P")))</f>
        <v/>
      </c>
      <c r="P73" s="176" t="n"/>
      <c r="Q73" s="176" t="n"/>
    </row>
    <row r="74" customFormat="1" s="99">
      <c r="A74" s="176" t="n"/>
      <c r="C74" s="98" t="n"/>
      <c r="D74" s="98" t="n"/>
      <c r="E74" s="106" t="n"/>
      <c r="F74" s="176" t="n"/>
      <c r="G74" s="108" t="n"/>
      <c r="H74" s="176" t="n"/>
      <c r="I74" s="109" t="n"/>
      <c r="J74" s="109" t="n"/>
      <c r="K74" s="109" t="n"/>
      <c r="L74" s="109" t="n"/>
      <c r="M74" s="109" t="n"/>
      <c r="N74" s="109" t="n"/>
      <c r="O74" s="109">
        <f>IF(OR(IF(K74="",IF(J74="",IF(I74="","",I74),J74),K74)="F", IF(N74="",IF(M74="",IF(L74="","",L74), M74),N74)="F")=TRUE,"F",
IF(OR(IF(K74="",IF(J74="",IF(I74="","",I74),J74),K74)="PE", IF(N74="",IF(M74="",IF(L74="","",L74), M74),N74)="PE")=TRUE,"PE",
IF(AND(IF(K74="",IF(J74="",IF(I74="","",I74),J74),K74)="", IF(N74="",IF(M74="",IF(L74="","",L74), M74),N74)="")=TRUE,"","P")))</f>
        <v/>
      </c>
      <c r="P74" s="176" t="n"/>
      <c r="Q74" s="176" t="n"/>
    </row>
    <row r="75" customFormat="1" s="99">
      <c r="A75" s="176" t="n"/>
      <c r="C75" s="98" t="n"/>
      <c r="D75" s="98" t="n"/>
      <c r="E75" s="106" t="n"/>
      <c r="F75" s="176" t="n"/>
      <c r="G75" s="108" t="n"/>
      <c r="H75" s="176" t="n"/>
      <c r="I75" s="109" t="n"/>
      <c r="J75" s="109" t="n"/>
      <c r="K75" s="109" t="n"/>
      <c r="L75" s="109" t="n"/>
      <c r="M75" s="109" t="n"/>
      <c r="N75" s="109" t="n"/>
      <c r="O75" s="109">
        <f>IF(OR(IF(K75="",IF(J75="",IF(I75="","",I75),J75),K75)="F", IF(N75="",IF(M75="",IF(L75="","",L75), M75),N75)="F")=TRUE,"F",
IF(OR(IF(K75="",IF(J75="",IF(I75="","",I75),J75),K75)="PE", IF(N75="",IF(M75="",IF(L75="","",L75), M75),N75)="PE")=TRUE,"PE",
IF(AND(IF(K75="",IF(J75="",IF(I75="","",I75),J75),K75)="", IF(N75="",IF(M75="",IF(L75="","",L75), M75),N75)="")=TRUE,"","P")))</f>
        <v/>
      </c>
      <c r="P75" s="176" t="n"/>
      <c r="Q75" s="176" t="n"/>
    </row>
    <row r="76" customFormat="1" s="99">
      <c r="A76" s="176" t="n"/>
      <c r="C76" s="98" t="n"/>
      <c r="D76" s="98" t="n"/>
      <c r="E76" s="106" t="n"/>
      <c r="F76" s="176" t="n"/>
      <c r="G76" s="108" t="n"/>
      <c r="H76" s="176" t="n"/>
      <c r="I76" s="109" t="n"/>
      <c r="J76" s="109" t="n"/>
      <c r="K76" s="109" t="n"/>
      <c r="L76" s="109" t="n"/>
      <c r="M76" s="109" t="n"/>
      <c r="N76" s="109" t="n"/>
      <c r="O76" s="109">
        <f>IF(OR(IF(K76="",IF(J76="",IF(I76="","",I76),J76),K76)="F", IF(N76="",IF(M76="",IF(L76="","",L76), M76),N76)="F")=TRUE,"F",
IF(OR(IF(K76="",IF(J76="",IF(I76="","",I76),J76),K76)="PE", IF(N76="",IF(M76="",IF(L76="","",L76), M76),N76)="PE")=TRUE,"PE",
IF(AND(IF(K76="",IF(J76="",IF(I76="","",I76),J76),K76)="", IF(N76="",IF(M76="",IF(L76="","",L76), M76),N76)="")=TRUE,"","P")))</f>
        <v/>
      </c>
      <c r="P76" s="176" t="n"/>
      <c r="Q76" s="176" t="n"/>
    </row>
    <row r="77" customFormat="1" s="99">
      <c r="A77" s="176" t="n"/>
      <c r="C77" s="98" t="n"/>
      <c r="D77" s="98" t="n"/>
      <c r="E77" s="106" t="n"/>
      <c r="F77" s="176" t="n"/>
      <c r="G77" s="108" t="n"/>
      <c r="H77" s="176" t="n"/>
      <c r="I77" s="109" t="n"/>
      <c r="J77" s="109" t="n"/>
      <c r="K77" s="109" t="n"/>
      <c r="L77" s="109" t="n"/>
      <c r="M77" s="109" t="n"/>
      <c r="N77" s="109" t="n"/>
      <c r="O77" s="109">
        <f>IF(OR(IF(K77="",IF(J77="",IF(I77="","",I77),J77),K77)="F", IF(N77="",IF(M77="",IF(L77="","",L77), M77),N77)="F")=TRUE,"F",
IF(OR(IF(K77="",IF(J77="",IF(I77="","",I77),J77),K77)="PE", IF(N77="",IF(M77="",IF(L77="","",L77), M77),N77)="PE")=TRUE,"PE",
IF(AND(IF(K77="",IF(J77="",IF(I77="","",I77),J77),K77)="", IF(N77="",IF(M77="",IF(L77="","",L77), M77),N77)="")=TRUE,"","P")))</f>
        <v/>
      </c>
      <c r="P77" s="176" t="n"/>
      <c r="Q77" s="176" t="n"/>
    </row>
    <row r="78" customFormat="1" s="99">
      <c r="A78" s="176" t="n"/>
      <c r="C78" s="98" t="n"/>
      <c r="D78" s="98" t="n"/>
      <c r="E78" s="106" t="n"/>
      <c r="F78" s="176" t="n"/>
      <c r="G78" s="108" t="n"/>
      <c r="H78" s="176" t="n"/>
      <c r="I78" s="109" t="n"/>
      <c r="J78" s="109" t="n"/>
      <c r="K78" s="109" t="n"/>
      <c r="L78" s="109" t="n"/>
      <c r="M78" s="109" t="n"/>
      <c r="N78" s="109" t="n"/>
      <c r="O78" s="109">
        <f>IF(OR(IF(K78="",IF(J78="",IF(I78="","",I78),J78),K78)="F", IF(N78="",IF(M78="",IF(L78="","",L78), M78),N78)="F")=TRUE,"F",
IF(OR(IF(K78="",IF(J78="",IF(I78="","",I78),J78),K78)="PE", IF(N78="",IF(M78="",IF(L78="","",L78), M78),N78)="PE")=TRUE,"PE",
IF(AND(IF(K78="",IF(J78="",IF(I78="","",I78),J78),K78)="", IF(N78="",IF(M78="",IF(L78="","",L78), M78),N78)="")=TRUE,"","P")))</f>
        <v/>
      </c>
      <c r="P78" s="176" t="n"/>
      <c r="Q78" s="176" t="n"/>
    </row>
    <row r="79" customFormat="1" s="99">
      <c r="A79" s="176" t="n"/>
      <c r="C79" s="98" t="n"/>
      <c r="D79" s="98" t="n"/>
      <c r="E79" s="106" t="n"/>
      <c r="F79" s="176" t="n"/>
      <c r="G79" s="108" t="n"/>
      <c r="H79" s="176" t="n"/>
      <c r="I79" s="109" t="n"/>
      <c r="J79" s="109" t="n"/>
      <c r="K79" s="109" t="n"/>
      <c r="L79" s="109" t="n"/>
      <c r="M79" s="109" t="n"/>
      <c r="N79" s="109" t="n"/>
      <c r="O79" s="109">
        <f>IF(OR(IF(K79="",IF(J79="",IF(I79="","",I79),J79),K79)="F", IF(N79="",IF(M79="",IF(L79="","",L79), M79),N79)="F")=TRUE,"F",
IF(OR(IF(K79="",IF(J79="",IF(I79="","",I79),J79),K79)="PE", IF(N79="",IF(M79="",IF(L79="","",L79), M79),N79)="PE")=TRUE,"PE",
IF(AND(IF(K79="",IF(J79="",IF(I79="","",I79),J79),K79)="", IF(N79="",IF(M79="",IF(L79="","",L79), M79),N79)="")=TRUE,"","P")))</f>
        <v/>
      </c>
      <c r="P79" s="176" t="n"/>
      <c r="Q79" s="176" t="n"/>
    </row>
    <row r="80" customFormat="1" s="99">
      <c r="A80" s="176" t="n"/>
      <c r="C80" s="98" t="n"/>
      <c r="D80" s="98" t="n"/>
      <c r="E80" s="106" t="n"/>
      <c r="F80" s="176" t="n"/>
      <c r="G80" s="108" t="n"/>
      <c r="H80" s="176" t="n"/>
      <c r="I80" s="109" t="n"/>
      <c r="J80" s="109" t="n"/>
      <c r="K80" s="109" t="n"/>
      <c r="L80" s="109" t="n"/>
      <c r="M80" s="109" t="n"/>
      <c r="N80" s="109" t="n"/>
      <c r="O80" s="109">
        <f>IF(OR(IF(K80="",IF(J80="",IF(I80="","",I80),J80),K80)="F", IF(N80="",IF(M80="",IF(L80="","",L80), M80),N80)="F")=TRUE,"F",
IF(OR(IF(K80="",IF(J80="",IF(I80="","",I80),J80),K80)="PE", IF(N80="",IF(M80="",IF(L80="","",L80), M80),N80)="PE")=TRUE,"PE",
IF(AND(IF(K80="",IF(J80="",IF(I80="","",I80),J80),K80)="", IF(N80="",IF(M80="",IF(L80="","",L80), M80),N80)="")=TRUE,"","P")))</f>
        <v/>
      </c>
      <c r="P80" s="176" t="n"/>
      <c r="Q80" s="176" t="n"/>
    </row>
    <row r="81" customFormat="1" s="99">
      <c r="A81" s="176" t="n"/>
      <c r="C81" s="98" t="n"/>
      <c r="D81" s="98" t="n"/>
      <c r="E81" s="106" t="n"/>
      <c r="F81" s="176" t="n"/>
      <c r="G81" s="108" t="n"/>
      <c r="H81" s="176" t="n"/>
      <c r="I81" s="109" t="n"/>
      <c r="J81" s="109" t="n"/>
      <c r="K81" s="109" t="n"/>
      <c r="L81" s="109" t="n"/>
      <c r="M81" s="109" t="n"/>
      <c r="N81" s="109" t="n"/>
      <c r="O81" s="109">
        <f>IF(OR(IF(K81="",IF(J81="",IF(I81="","",I81),J81),K81)="F", IF(N81="",IF(M81="",IF(L81="","",L81), M81),N81)="F")=TRUE,"F",
IF(OR(IF(K81="",IF(J81="",IF(I81="","",I81),J81),K81)="PE", IF(N81="",IF(M81="",IF(L81="","",L81), M81),N81)="PE")=TRUE,"PE",
IF(AND(IF(K81="",IF(J81="",IF(I81="","",I81),J81),K81)="", IF(N81="",IF(M81="",IF(L81="","",L81), M81),N81)="")=TRUE,"","P")))</f>
        <v/>
      </c>
      <c r="P81" s="176" t="n"/>
      <c r="Q81" s="176" t="n"/>
    </row>
    <row r="82" customFormat="1" s="99">
      <c r="A82" s="176" t="n"/>
      <c r="C82" s="98" t="n"/>
      <c r="D82" s="98" t="n"/>
      <c r="E82" s="106" t="n"/>
      <c r="F82" s="176" t="n"/>
      <c r="G82" s="108" t="n"/>
      <c r="H82" s="176" t="n"/>
      <c r="I82" s="109" t="n"/>
      <c r="J82" s="109" t="n"/>
      <c r="K82" s="109" t="n"/>
      <c r="L82" s="109" t="n"/>
      <c r="M82" s="109" t="n"/>
      <c r="N82" s="109" t="n"/>
      <c r="O82" s="109">
        <f>IF(OR(IF(K82="",IF(J82="",IF(I82="","",I82),J82),K82)="F", IF(N82="",IF(M82="",IF(L82="","",L82), M82),N82)="F")=TRUE,"F",
IF(OR(IF(K82="",IF(J82="",IF(I82="","",I82),J82),K82)="PE", IF(N82="",IF(M82="",IF(L82="","",L82), M82),N82)="PE")=TRUE,"PE",
IF(AND(IF(K82="",IF(J82="",IF(I82="","",I82),J82),K82)="", IF(N82="",IF(M82="",IF(L82="","",L82), M82),N82)="")=TRUE,"","P")))</f>
        <v/>
      </c>
      <c r="P82" s="176" t="n"/>
      <c r="Q82" s="176" t="n"/>
    </row>
    <row r="83" customFormat="1" s="99">
      <c r="A83" s="176" t="n"/>
      <c r="C83" s="98" t="n"/>
      <c r="D83" s="98" t="n"/>
      <c r="E83" s="106" t="n"/>
      <c r="F83" s="176" t="n"/>
      <c r="G83" s="108" t="n"/>
      <c r="H83" s="176" t="n"/>
      <c r="I83" s="109" t="n"/>
      <c r="J83" s="109" t="n"/>
      <c r="K83" s="109" t="n"/>
      <c r="L83" s="109" t="n"/>
      <c r="M83" s="109" t="n"/>
      <c r="N83" s="109" t="n"/>
      <c r="O83" s="109">
        <f>IF(OR(IF(K83="",IF(J83="",IF(I83="","",I83),J83),K83)="F", IF(N83="",IF(M83="",IF(L83="","",L83), M83),N83)="F")=TRUE,"F",
IF(OR(IF(K83="",IF(J83="",IF(I83="","",I83),J83),K83)="PE", IF(N83="",IF(M83="",IF(L83="","",L83), M83),N83)="PE")=TRUE,"PE",
IF(AND(IF(K83="",IF(J83="",IF(I83="","",I83),J83),K83)="", IF(N83="",IF(M83="",IF(L83="","",L83), M83),N83)="")=TRUE,"","P")))</f>
        <v/>
      </c>
      <c r="P83" s="176" t="n"/>
      <c r="Q83" s="176" t="n"/>
    </row>
    <row r="84" customFormat="1" s="99">
      <c r="A84" s="176" t="n"/>
      <c r="C84" s="98" t="n"/>
      <c r="D84" s="98" t="n"/>
      <c r="E84" s="106" t="n"/>
      <c r="F84" s="176" t="n"/>
      <c r="G84" s="108" t="n"/>
      <c r="H84" s="176" t="n"/>
      <c r="I84" s="109" t="n"/>
      <c r="J84" s="109" t="n"/>
      <c r="K84" s="109" t="n"/>
      <c r="L84" s="109" t="n"/>
      <c r="M84" s="109" t="n"/>
      <c r="N84" s="109" t="n"/>
      <c r="O84" s="109">
        <f>IF(OR(IF(K84="",IF(J84="",IF(I84="","",I84),J84),K84)="F", IF(N84="",IF(M84="",IF(L84="","",L84), M84),N84)="F")=TRUE,"F",
IF(OR(IF(K84="",IF(J84="",IF(I84="","",I84),J84),K84)="PE", IF(N84="",IF(M84="",IF(L84="","",L84), M84),N84)="PE")=TRUE,"PE",
IF(AND(IF(K84="",IF(J84="",IF(I84="","",I84),J84),K84)="", IF(N84="",IF(M84="",IF(L84="","",L84), M84),N84)="")=TRUE,"","P")))</f>
        <v/>
      </c>
      <c r="P84" s="176" t="n"/>
      <c r="Q84" s="176" t="n"/>
    </row>
    <row r="85" customFormat="1" s="99">
      <c r="A85" s="176" t="n"/>
      <c r="C85" s="98" t="n"/>
      <c r="D85" s="98" t="n"/>
      <c r="E85" s="106" t="n"/>
      <c r="F85" s="176" t="n"/>
      <c r="G85" s="108" t="n"/>
      <c r="H85" s="176" t="n"/>
      <c r="I85" s="109" t="n"/>
      <c r="J85" s="109" t="n"/>
      <c r="K85" s="109" t="n"/>
      <c r="L85" s="109" t="n"/>
      <c r="M85" s="109" t="n"/>
      <c r="N85" s="109" t="n"/>
      <c r="O85" s="109">
        <f>IF(OR(IF(K85="",IF(J85="",IF(I85="","",I85),J85),K85)="F", IF(N85="",IF(M85="",IF(L85="","",L85), M85),N85)="F")=TRUE,"F",
IF(OR(IF(K85="",IF(J85="",IF(I85="","",I85),J85),K85)="PE", IF(N85="",IF(M85="",IF(L85="","",L85), M85),N85)="PE")=TRUE,"PE",
IF(AND(IF(K85="",IF(J85="",IF(I85="","",I85),J85),K85)="", IF(N85="",IF(M85="",IF(L85="","",L85), M85),N85)="")=TRUE,"","P")))</f>
        <v/>
      </c>
      <c r="P85" s="176" t="n"/>
      <c r="Q85" s="176" t="n"/>
    </row>
    <row r="86" customFormat="1" s="99">
      <c r="A86" s="176" t="n"/>
      <c r="C86" s="98" t="n"/>
      <c r="D86" s="98" t="n"/>
      <c r="E86" s="106" t="n"/>
      <c r="F86" s="176" t="n"/>
      <c r="G86" s="108" t="n"/>
      <c r="H86" s="176" t="n"/>
      <c r="I86" s="109" t="n"/>
      <c r="J86" s="109" t="n"/>
      <c r="K86" s="109" t="n"/>
      <c r="L86" s="109" t="n"/>
      <c r="M86" s="109" t="n"/>
      <c r="N86" s="109" t="n"/>
      <c r="O86" s="109">
        <f>IF(OR(IF(K86="",IF(J86="",IF(I86="","",I86),J86),K86)="F", IF(N86="",IF(M86="",IF(L86="","",L86), M86),N86)="F")=TRUE,"F",
IF(OR(IF(K86="",IF(J86="",IF(I86="","",I86),J86),K86)="PE", IF(N86="",IF(M86="",IF(L86="","",L86), M86),N86)="PE")=TRUE,"PE",
IF(AND(IF(K86="",IF(J86="",IF(I86="","",I86),J86),K86)="", IF(N86="",IF(M86="",IF(L86="","",L86), M86),N86)="")=TRUE,"","P")))</f>
        <v/>
      </c>
      <c r="P86" s="176" t="n"/>
      <c r="Q86" s="176" t="n"/>
    </row>
    <row r="87" customFormat="1" s="99">
      <c r="A87" s="176" t="n"/>
      <c r="C87" s="98" t="n"/>
      <c r="D87" s="98" t="n"/>
      <c r="E87" s="106" t="n"/>
      <c r="F87" s="176" t="n"/>
      <c r="G87" s="108" t="n"/>
      <c r="H87" s="176" t="n"/>
      <c r="I87" s="109" t="n"/>
      <c r="J87" s="109" t="n"/>
      <c r="K87" s="109" t="n"/>
      <c r="L87" s="109" t="n"/>
      <c r="M87" s="109" t="n"/>
      <c r="N87" s="109" t="n"/>
      <c r="O87" s="109">
        <f>IF(OR(IF(K87="",IF(J87="",IF(I87="","",I87),J87),K87)="F", IF(N87="",IF(M87="",IF(L87="","",L87), M87),N87)="F")=TRUE,"F",
IF(OR(IF(K87="",IF(J87="",IF(I87="","",I87),J87),K87)="PE", IF(N87="",IF(M87="",IF(L87="","",L87), M87),N87)="PE")=TRUE,"PE",
IF(AND(IF(K87="",IF(J87="",IF(I87="","",I87),J87),K87)="", IF(N87="",IF(M87="",IF(L87="","",L87), M87),N87)="")=TRUE,"","P")))</f>
        <v/>
      </c>
      <c r="P87" s="176" t="n"/>
      <c r="Q87" s="176" t="n"/>
    </row>
    <row r="88" customFormat="1" s="99">
      <c r="A88" s="176" t="n"/>
      <c r="C88" s="98" t="n"/>
      <c r="D88" s="98" t="n"/>
      <c r="E88" s="106" t="n"/>
      <c r="F88" s="176" t="n"/>
      <c r="G88" s="108" t="n"/>
      <c r="H88" s="176" t="n"/>
      <c r="I88" s="109" t="n"/>
      <c r="J88" s="109" t="n"/>
      <c r="K88" s="109" t="n"/>
      <c r="L88" s="109" t="n"/>
      <c r="M88" s="109" t="n"/>
      <c r="N88" s="109" t="n"/>
      <c r="O88" s="109">
        <f>IF(OR(IF(K88="",IF(J88="",IF(I88="","",I88),J88),K88)="F", IF(N88="",IF(M88="",IF(L88="","",L88), M88),N88)="F")=TRUE,"F",
IF(OR(IF(K88="",IF(J88="",IF(I88="","",I88),J88),K88)="PE", IF(N88="",IF(M88="",IF(L88="","",L88), M88),N88)="PE")=TRUE,"PE",
IF(AND(IF(K88="",IF(J88="",IF(I88="","",I88),J88),K88)="", IF(N88="",IF(M88="",IF(L88="","",L88), M88),N88)="")=TRUE,"","P")))</f>
        <v/>
      </c>
      <c r="P88" s="176" t="n"/>
      <c r="Q88" s="176" t="n"/>
    </row>
    <row r="89" customFormat="1" s="99">
      <c r="A89" s="176" t="n"/>
      <c r="C89" s="98" t="n"/>
      <c r="D89" s="98" t="n"/>
      <c r="E89" s="106" t="n"/>
      <c r="F89" s="176" t="n"/>
      <c r="G89" s="108" t="n"/>
      <c r="H89" s="176" t="n"/>
      <c r="I89" s="109" t="n"/>
      <c r="J89" s="109" t="n"/>
      <c r="K89" s="109" t="n"/>
      <c r="L89" s="109" t="n"/>
      <c r="M89" s="109" t="n"/>
      <c r="N89" s="109" t="n"/>
      <c r="O89" s="109">
        <f>IF(OR(IF(K89="",IF(J89="",IF(I89="","",I89),J89),K89)="F", IF(N89="",IF(M89="",IF(L89="","",L89), M89),N89)="F")=TRUE,"F",
IF(OR(IF(K89="",IF(J89="",IF(I89="","",I89),J89),K89)="PE", IF(N89="",IF(M89="",IF(L89="","",L89), M89),N89)="PE")=TRUE,"PE",
IF(AND(IF(K89="",IF(J89="",IF(I89="","",I89),J89),K89)="", IF(N89="",IF(M89="",IF(L89="","",L89), M89),N89)="")=TRUE,"","P")))</f>
        <v/>
      </c>
      <c r="P89" s="176" t="n"/>
      <c r="Q89" s="176" t="n"/>
    </row>
    <row r="90" customFormat="1" s="99">
      <c r="A90" s="176" t="n"/>
      <c r="C90" s="98" t="n"/>
      <c r="D90" s="98" t="n"/>
      <c r="E90" s="106" t="n"/>
      <c r="F90" s="176" t="n"/>
      <c r="G90" s="108" t="n"/>
      <c r="H90" s="176" t="n"/>
      <c r="I90" s="109" t="n"/>
      <c r="J90" s="109" t="n"/>
      <c r="K90" s="109" t="n"/>
      <c r="L90" s="109" t="n"/>
      <c r="M90" s="109" t="n"/>
      <c r="N90" s="109" t="n"/>
      <c r="O90" s="109">
        <f>IF(OR(IF(K90="",IF(J90="",IF(I90="","",I90),J90),K90)="F", IF(N90="",IF(M90="",IF(L90="","",L90), M90),N90)="F")=TRUE,"F",
IF(OR(IF(K90="",IF(J90="",IF(I90="","",I90),J90),K90)="PE", IF(N90="",IF(M90="",IF(L90="","",L90), M90),N90)="PE")=TRUE,"PE",
IF(AND(IF(K90="",IF(J90="",IF(I90="","",I90),J90),K90)="", IF(N90="",IF(M90="",IF(L90="","",L90), M90),N90)="")=TRUE,"","P")))</f>
        <v/>
      </c>
      <c r="P90" s="176" t="n"/>
      <c r="Q90" s="176" t="n"/>
    </row>
    <row r="91" customFormat="1" s="99">
      <c r="A91" s="176" t="n"/>
      <c r="C91" s="98" t="n"/>
      <c r="D91" s="98" t="n"/>
      <c r="E91" s="106" t="n"/>
      <c r="F91" s="176" t="n"/>
      <c r="G91" s="108" t="n"/>
      <c r="H91" s="176" t="n"/>
      <c r="I91" s="109" t="n"/>
      <c r="J91" s="109" t="n"/>
      <c r="K91" s="109" t="n"/>
      <c r="L91" s="109" t="n"/>
      <c r="M91" s="109" t="n"/>
      <c r="N91" s="109" t="n"/>
      <c r="O91" s="109">
        <f>IF(OR(IF(K91="",IF(J91="",IF(I91="","",I91),J91),K91)="F", IF(N91="",IF(M91="",IF(L91="","",L91), M91),N91)="F")=TRUE,"F",
IF(OR(IF(K91="",IF(J91="",IF(I91="","",I91),J91),K91)="PE", IF(N91="",IF(M91="",IF(L91="","",L91), M91),N91)="PE")=TRUE,"PE",
IF(AND(IF(K91="",IF(J91="",IF(I91="","",I91),J91),K91)="", IF(N91="",IF(M91="",IF(L91="","",L91), M91),N91)="")=TRUE,"","P")))</f>
        <v/>
      </c>
      <c r="P91" s="176" t="n"/>
      <c r="Q91" s="176" t="n"/>
    </row>
    <row r="92" customFormat="1" s="99">
      <c r="A92" s="176" t="n"/>
      <c r="C92" s="98" t="n"/>
      <c r="D92" s="98" t="n"/>
      <c r="E92" s="106" t="n"/>
      <c r="F92" s="176" t="n"/>
      <c r="G92" s="108" t="n"/>
      <c r="H92" s="176" t="n"/>
      <c r="I92" s="109" t="n"/>
      <c r="J92" s="109" t="n"/>
      <c r="K92" s="109" t="n"/>
      <c r="L92" s="109" t="n"/>
      <c r="M92" s="109" t="n"/>
      <c r="N92" s="109" t="n"/>
      <c r="O92" s="109">
        <f>IF(OR(IF(K92="",IF(J92="",IF(I92="","",I92),J92),K92)="F", IF(N92="",IF(M92="",IF(L92="","",L92), M92),N92)="F")=TRUE,"F",
IF(OR(IF(K92="",IF(J92="",IF(I92="","",I92),J92),K92)="PE", IF(N92="",IF(M92="",IF(L92="","",L92), M92),N92)="PE")=TRUE,"PE",
IF(AND(IF(K92="",IF(J92="",IF(I92="","",I92),J92),K92)="", IF(N92="",IF(M92="",IF(L92="","",L92), M92),N92)="")=TRUE,"","P")))</f>
        <v/>
      </c>
      <c r="P92" s="176" t="n"/>
      <c r="Q92" s="176" t="n"/>
    </row>
    <row r="93" customFormat="1" s="99">
      <c r="A93" s="176" t="n"/>
      <c r="C93" s="98" t="n"/>
      <c r="D93" s="98" t="n"/>
      <c r="E93" s="106" t="n"/>
      <c r="F93" s="176" t="n"/>
      <c r="G93" s="108" t="n"/>
      <c r="H93" s="176" t="n"/>
      <c r="I93" s="109" t="n"/>
      <c r="J93" s="109" t="n"/>
      <c r="K93" s="109" t="n"/>
      <c r="L93" s="109" t="n"/>
      <c r="M93" s="109" t="n"/>
      <c r="N93" s="109" t="n"/>
      <c r="O93" s="109">
        <f>IF(OR(IF(K93="",IF(J93="",IF(I93="","",I93),J93),K93)="F", IF(N93="",IF(M93="",IF(L93="","",L93), M93),N93)="F")=TRUE,"F",
IF(OR(IF(K93="",IF(J93="",IF(I93="","",I93),J93),K93)="PE", IF(N93="",IF(M93="",IF(L93="","",L93), M93),N93)="PE")=TRUE,"PE",
IF(AND(IF(K93="",IF(J93="",IF(I93="","",I93),J93),K93)="", IF(N93="",IF(M93="",IF(L93="","",L93), M93),N93)="")=TRUE,"","P")))</f>
        <v/>
      </c>
      <c r="P93" s="176" t="n"/>
      <c r="Q93" s="176" t="n"/>
    </row>
    <row r="94" customFormat="1" s="99">
      <c r="A94" s="176" t="n"/>
      <c r="C94" s="98" t="n"/>
      <c r="D94" s="98" t="n"/>
      <c r="E94" s="106" t="n"/>
      <c r="F94" s="176" t="n"/>
      <c r="G94" s="108" t="n"/>
      <c r="H94" s="176" t="n"/>
      <c r="I94" s="109" t="n"/>
      <c r="J94" s="109" t="n"/>
      <c r="K94" s="109" t="n"/>
      <c r="L94" s="109" t="n"/>
      <c r="M94" s="109" t="n"/>
      <c r="N94" s="109" t="n"/>
      <c r="O94" s="109">
        <f>IF(OR(IF(K94="",IF(J94="",IF(I94="","",I94),J94),K94)="F", IF(N94="",IF(M94="",IF(L94="","",L94), M94),N94)="F")=TRUE,"F",
IF(OR(IF(K94="",IF(J94="",IF(I94="","",I94),J94),K94)="PE", IF(N94="",IF(M94="",IF(L94="","",L94), M94),N94)="PE")=TRUE,"PE",
IF(AND(IF(K94="",IF(J94="",IF(I94="","",I94),J94),K94)="", IF(N94="",IF(M94="",IF(L94="","",L94), M94),N94)="")=TRUE,"","P")))</f>
        <v/>
      </c>
      <c r="P94" s="176" t="n"/>
      <c r="Q94" s="176" t="n"/>
    </row>
    <row r="95" customFormat="1" s="99">
      <c r="A95" s="176" t="n"/>
      <c r="C95" s="98" t="n"/>
      <c r="D95" s="98" t="n"/>
      <c r="E95" s="106" t="n"/>
      <c r="F95" s="176" t="n"/>
      <c r="G95" s="108" t="n"/>
      <c r="H95" s="176" t="n"/>
      <c r="I95" s="109" t="n"/>
      <c r="J95" s="109" t="n"/>
      <c r="K95" s="109" t="n"/>
      <c r="L95" s="109" t="n"/>
      <c r="M95" s="109" t="n"/>
      <c r="N95" s="109" t="n"/>
      <c r="O95" s="109">
        <f>IF(OR(IF(K95="",IF(J95="",IF(I95="","",I95),J95),K95)="F", IF(N95="",IF(M95="",IF(L95="","",L95), M95),N95)="F")=TRUE,"F",
IF(OR(IF(K95="",IF(J95="",IF(I95="","",I95),J95),K95)="PE", IF(N95="",IF(M95="",IF(L95="","",L95), M95),N95)="PE")=TRUE,"PE",
IF(AND(IF(K95="",IF(J95="",IF(I95="","",I95),J95),K95)="", IF(N95="",IF(M95="",IF(L95="","",L95), M95),N95)="")=TRUE,"","P")))</f>
        <v/>
      </c>
      <c r="P95" s="176" t="n"/>
      <c r="Q95" s="176" t="n"/>
    </row>
    <row r="96" customFormat="1" s="99">
      <c r="A96" s="176" t="n"/>
      <c r="C96" s="98" t="n"/>
      <c r="D96" s="98" t="n"/>
      <c r="E96" s="106" t="n"/>
      <c r="F96" s="176" t="n"/>
      <c r="G96" s="108" t="n"/>
      <c r="H96" s="176" t="n"/>
      <c r="I96" s="109" t="n"/>
      <c r="J96" s="109" t="n"/>
      <c r="K96" s="109" t="n"/>
      <c r="L96" s="109" t="n"/>
      <c r="M96" s="109" t="n"/>
      <c r="N96" s="109" t="n"/>
      <c r="O96" s="109">
        <f>IF(OR(IF(K96="",IF(J96="",IF(I96="","",I96),J96),K96)="F", IF(N96="",IF(M96="",IF(L96="","",L96), M96),N96)="F")=TRUE,"F",
IF(OR(IF(K96="",IF(J96="",IF(I96="","",I96),J96),K96)="PE", IF(N96="",IF(M96="",IF(L96="","",L96), M96),N96)="PE")=TRUE,"PE",
IF(AND(IF(K96="",IF(J96="",IF(I96="","",I96),J96),K96)="", IF(N96="",IF(M96="",IF(L96="","",L96), M96),N96)="")=TRUE,"","P")))</f>
        <v/>
      </c>
      <c r="P96" s="176" t="n"/>
      <c r="Q96" s="176" t="n"/>
    </row>
    <row r="97" customFormat="1" s="99">
      <c r="A97" s="176" t="n"/>
      <c r="C97" s="98" t="n"/>
      <c r="D97" s="98" t="n"/>
      <c r="E97" s="106" t="n"/>
      <c r="F97" s="176" t="n"/>
      <c r="G97" s="108" t="n"/>
      <c r="H97" s="176" t="n"/>
      <c r="I97" s="109" t="n"/>
      <c r="J97" s="109" t="n"/>
      <c r="K97" s="109" t="n"/>
      <c r="L97" s="109" t="n"/>
      <c r="M97" s="109" t="n"/>
      <c r="N97" s="109" t="n"/>
      <c r="O97" s="109">
        <f>IF(OR(IF(K97="",IF(J97="",IF(I97="","",I97),J97),K97)="F", IF(N97="",IF(M97="",IF(L97="","",L97), M97),N97)="F")=TRUE,"F",
IF(OR(IF(K97="",IF(J97="",IF(I97="","",I97),J97),K97)="PE", IF(N97="",IF(M97="",IF(L97="","",L97), M97),N97)="PE")=TRUE,"PE",
IF(AND(IF(K97="",IF(J97="",IF(I97="","",I97),J97),K97)="", IF(N97="",IF(M97="",IF(L97="","",L97), M97),N97)="")=TRUE,"","P")))</f>
        <v/>
      </c>
      <c r="P97" s="176" t="n"/>
      <c r="Q97" s="176" t="n"/>
    </row>
    <row r="98" customFormat="1" s="99">
      <c r="A98" s="176" t="n"/>
      <c r="C98" s="98" t="n"/>
      <c r="D98" s="98" t="n"/>
      <c r="E98" s="106" t="n"/>
      <c r="F98" s="176" t="n"/>
      <c r="G98" s="108" t="n"/>
      <c r="H98" s="176" t="n"/>
      <c r="I98" s="109" t="n"/>
      <c r="J98" s="109" t="n"/>
      <c r="K98" s="109" t="n"/>
      <c r="L98" s="109" t="n"/>
      <c r="M98" s="109" t="n"/>
      <c r="N98" s="109" t="n"/>
      <c r="O98" s="109">
        <f>IF(OR(IF(K98="",IF(J98="",IF(I98="","",I98),J98),K98)="F", IF(N98="",IF(M98="",IF(L98="","",L98), M98),N98)="F")=TRUE,"F",
IF(OR(IF(K98="",IF(J98="",IF(I98="","",I98),J98),K98)="PE", IF(N98="",IF(M98="",IF(L98="","",L98), M98),N98)="PE")=TRUE,"PE",
IF(AND(IF(K98="",IF(J98="",IF(I98="","",I98),J98),K98)="", IF(N98="",IF(M98="",IF(L98="","",L98), M98),N98)="")=TRUE,"","P")))</f>
        <v/>
      </c>
      <c r="P98" s="176" t="n"/>
      <c r="Q98" s="176" t="n"/>
    </row>
    <row r="99" customFormat="1" s="99">
      <c r="A99" s="176" t="n"/>
      <c r="C99" s="98" t="n"/>
      <c r="D99" s="98" t="n"/>
      <c r="E99" s="106" t="n"/>
      <c r="F99" s="176" t="n"/>
      <c r="G99" s="108" t="n"/>
      <c r="H99" s="176" t="n"/>
      <c r="I99" s="109" t="n"/>
      <c r="J99" s="109" t="n"/>
      <c r="K99" s="109" t="n"/>
      <c r="L99" s="109" t="n"/>
      <c r="M99" s="109" t="n"/>
      <c r="N99" s="109" t="n"/>
      <c r="O99" s="109">
        <f>IF(OR(IF(K99="",IF(J99="",IF(I99="","",I99),J99),K99)="F", IF(N99="",IF(M99="",IF(L99="","",L99), M99),N99)="F")=TRUE,"F",
IF(OR(IF(K99="",IF(J99="",IF(I99="","",I99),J99),K99)="PE", IF(N99="",IF(M99="",IF(L99="","",L99), M99),N99)="PE")=TRUE,"PE",
IF(AND(IF(K99="",IF(J99="",IF(I99="","",I99),J99),K99)="", IF(N99="",IF(M99="",IF(L99="","",L99), M99),N99)="")=TRUE,"","P")))</f>
        <v/>
      </c>
      <c r="P99" s="176" t="n"/>
      <c r="Q99" s="176" t="n"/>
    </row>
    <row r="100" customFormat="1" s="99">
      <c r="A100" s="176" t="n"/>
      <c r="C100" s="98" t="n"/>
      <c r="D100" s="98" t="n"/>
      <c r="E100" s="106" t="n"/>
      <c r="F100" s="176" t="n"/>
      <c r="G100" s="108" t="n"/>
      <c r="H100" s="176" t="n"/>
      <c r="I100" s="109" t="n"/>
      <c r="J100" s="109" t="n"/>
      <c r="K100" s="109" t="n"/>
      <c r="L100" s="109" t="n"/>
      <c r="M100" s="109" t="n"/>
      <c r="N100" s="109" t="n"/>
      <c r="O100" s="109">
        <f>IF(OR(IF(K100="",IF(J100="",IF(I100="","",I100),J100),K100)="F", IF(N100="",IF(M100="",IF(L100="","",L100), M100),N100)="F")=TRUE,"F",
IF(OR(IF(K100="",IF(J100="",IF(I100="","",I100),J100),K100)="PE", IF(N100="",IF(M100="",IF(L100="","",L100), M100),N100)="PE")=TRUE,"PE",
IF(AND(IF(K100="",IF(J100="",IF(I100="","",I100),J100),K100)="", IF(N100="",IF(M100="",IF(L100="","",L100), M100),N100)="")=TRUE,"","P")))</f>
        <v/>
      </c>
      <c r="P100" s="176" t="n"/>
      <c r="Q100" s="176" t="n"/>
    </row>
    <row r="101" customFormat="1" s="99">
      <c r="A101" s="176" t="n"/>
      <c r="C101" s="98" t="n"/>
      <c r="D101" s="98" t="n"/>
      <c r="E101" s="106" t="n"/>
      <c r="F101" s="176" t="n"/>
      <c r="G101" s="108" t="n"/>
      <c r="H101" s="176" t="n"/>
      <c r="I101" s="109" t="n"/>
      <c r="J101" s="109" t="n"/>
      <c r="K101" s="109" t="n"/>
      <c r="L101" s="109" t="n"/>
      <c r="M101" s="109" t="n"/>
      <c r="N101" s="109" t="n"/>
      <c r="O101" s="109">
        <f>IF(OR(IF(K101="",IF(J101="",IF(I101="","",I101),J101),K101)="F", IF(N101="",IF(M101="",IF(L101="","",L101), M101),N101)="F")=TRUE,"F",
IF(OR(IF(K101="",IF(J101="",IF(I101="","",I101),J101),K101)="PE", IF(N101="",IF(M101="",IF(L101="","",L101), M101),N101)="PE")=TRUE,"PE",
IF(AND(IF(K101="",IF(J101="",IF(I101="","",I101),J101),K101)="", IF(N101="",IF(M101="",IF(L101="","",L101), M101),N101)="")=TRUE,"","P")))</f>
        <v/>
      </c>
      <c r="P101" s="176" t="n"/>
      <c r="Q101" s="176" t="n"/>
    </row>
    <row r="102" customFormat="1" s="99">
      <c r="A102" s="176" t="n"/>
      <c r="C102" s="98" t="n"/>
      <c r="D102" s="98" t="n"/>
      <c r="E102" s="106" t="n"/>
      <c r="F102" s="176" t="n"/>
      <c r="G102" s="108" t="n"/>
      <c r="H102" s="176" t="n"/>
      <c r="I102" s="109" t="n"/>
      <c r="J102" s="109" t="n"/>
      <c r="K102" s="109" t="n"/>
      <c r="L102" s="109" t="n"/>
      <c r="M102" s="109" t="n"/>
      <c r="N102" s="109" t="n"/>
      <c r="O102" s="109">
        <f>IF(OR(IF(K102="",IF(J102="",IF(I102="","",I102),J102),K102)="F", IF(N102="",IF(M102="",IF(L102="","",L102), M102),N102)="F")=TRUE,"F",
IF(OR(IF(K102="",IF(J102="",IF(I102="","",I102),J102),K102)="PE", IF(N102="",IF(M102="",IF(L102="","",L102), M102),N102)="PE")=TRUE,"PE",
IF(AND(IF(K102="",IF(J102="",IF(I102="","",I102),J102),K102)="", IF(N102="",IF(M102="",IF(L102="","",L102), M102),N102)="")=TRUE,"","P")))</f>
        <v/>
      </c>
      <c r="P102" s="176" t="n"/>
      <c r="Q102" s="176" t="n"/>
    </row>
    <row r="103" customFormat="1" s="99">
      <c r="A103" s="176" t="n"/>
      <c r="C103" s="98" t="n"/>
      <c r="D103" s="98" t="n"/>
      <c r="E103" s="106" t="n"/>
      <c r="F103" s="176" t="n"/>
      <c r="G103" s="108" t="n"/>
      <c r="H103" s="176" t="n"/>
      <c r="I103" s="109" t="n"/>
      <c r="J103" s="109" t="n"/>
      <c r="K103" s="109" t="n"/>
      <c r="L103" s="109" t="n"/>
      <c r="M103" s="109" t="n"/>
      <c r="N103" s="109" t="n"/>
      <c r="O103" s="109">
        <f>IF(OR(IF(K103="",IF(J103="",IF(I103="","",I103),J103),K103)="F", IF(N103="",IF(M103="",IF(L103="","",L103), M103),N103)="F")=TRUE,"F",
IF(OR(IF(K103="",IF(J103="",IF(I103="","",I103),J103),K103)="PE", IF(N103="",IF(M103="",IF(L103="","",L103), M103),N103)="PE")=TRUE,"PE",
IF(AND(IF(K103="",IF(J103="",IF(I103="","",I103),J103),K103)="", IF(N103="",IF(M103="",IF(L103="","",L103), M103),N103)="")=TRUE,"","P")))</f>
        <v/>
      </c>
      <c r="P103" s="176" t="n"/>
      <c r="Q103" s="176" t="n"/>
    </row>
    <row r="104" customFormat="1" s="99">
      <c r="A104" s="176" t="n"/>
      <c r="C104" s="98" t="n"/>
      <c r="D104" s="98" t="n"/>
      <c r="E104" s="106" t="n"/>
      <c r="F104" s="176" t="n"/>
      <c r="G104" s="108" t="n"/>
      <c r="H104" s="176" t="n"/>
      <c r="I104" s="109" t="n"/>
      <c r="J104" s="109" t="n"/>
      <c r="K104" s="109" t="n"/>
      <c r="L104" s="109" t="n"/>
      <c r="M104" s="109" t="n"/>
      <c r="N104" s="109" t="n"/>
      <c r="O104" s="109">
        <f>IF(OR(IF(K104="",IF(J104="",IF(I104="","",I104),J104),K104)="F", IF(N104="",IF(M104="",IF(L104="","",L104), M104),N104)="F")=TRUE,"F",
IF(OR(IF(K104="",IF(J104="",IF(I104="","",I104),J104),K104)="PE", IF(N104="",IF(M104="",IF(L104="","",L104), M104),N104)="PE")=TRUE,"PE",
IF(AND(IF(K104="",IF(J104="",IF(I104="","",I104),J104),K104)="", IF(N104="",IF(M104="",IF(L104="","",L104), M104),N104)="")=TRUE,"","P")))</f>
        <v/>
      </c>
      <c r="P104" s="176" t="n"/>
      <c r="Q104" s="176" t="n"/>
    </row>
    <row r="105" customFormat="1" s="99">
      <c r="A105" s="176" t="n"/>
      <c r="C105" s="98" t="n"/>
      <c r="D105" s="98" t="n"/>
      <c r="E105" s="106" t="n"/>
      <c r="F105" s="176" t="n"/>
      <c r="G105" s="108" t="n"/>
      <c r="H105" s="176" t="n"/>
      <c r="I105" s="109" t="n"/>
      <c r="J105" s="109" t="n"/>
      <c r="K105" s="109" t="n"/>
      <c r="L105" s="109" t="n"/>
      <c r="M105" s="109" t="n"/>
      <c r="N105" s="109" t="n"/>
      <c r="O105" s="109">
        <f>IF(OR(IF(K105="",IF(J105="",IF(I105="","",I105),J105),K105)="F", IF(N105="",IF(M105="",IF(L105="","",L105), M105),N105)="F")=TRUE,"F",
IF(OR(IF(K105="",IF(J105="",IF(I105="","",I105),J105),K105)="PE", IF(N105="",IF(M105="",IF(L105="","",L105), M105),N105)="PE")=TRUE,"PE",
IF(AND(IF(K105="",IF(J105="",IF(I105="","",I105),J105),K105)="", IF(N105="",IF(M105="",IF(L105="","",L105), M105),N105)="")=TRUE,"","P")))</f>
        <v/>
      </c>
      <c r="P105" s="176" t="n"/>
      <c r="Q105" s="176" t="n"/>
    </row>
    <row r="106" customFormat="1" s="99">
      <c r="A106" s="176" t="n"/>
      <c r="C106" s="98" t="n"/>
      <c r="D106" s="98" t="n"/>
      <c r="E106" s="106" t="n"/>
      <c r="F106" s="176" t="n"/>
      <c r="G106" s="108" t="n"/>
      <c r="H106" s="176" t="n"/>
      <c r="I106" s="109" t="n"/>
      <c r="J106" s="109" t="n"/>
      <c r="K106" s="109" t="n"/>
      <c r="L106" s="109" t="n"/>
      <c r="M106" s="109" t="n"/>
      <c r="N106" s="109" t="n"/>
      <c r="O106" s="109">
        <f>IF(OR(IF(K106="",IF(J106="",IF(I106="","",I106),J106),K106)="F", IF(N106="",IF(M106="",IF(L106="","",L106), M106),N106)="F")=TRUE,"F",
IF(OR(IF(K106="",IF(J106="",IF(I106="","",I106),J106),K106)="PE", IF(N106="",IF(M106="",IF(L106="","",L106), M106),N106)="PE")=TRUE,"PE",
IF(AND(IF(K106="",IF(J106="",IF(I106="","",I106),J106),K106)="", IF(N106="",IF(M106="",IF(L106="","",L106), M106),N106)="")=TRUE,"","P")))</f>
        <v/>
      </c>
      <c r="P106" s="176" t="n"/>
      <c r="Q106" s="176" t="n"/>
    </row>
    <row r="107" customFormat="1" s="99">
      <c r="A107" s="176" t="n"/>
      <c r="C107" s="98" t="n"/>
      <c r="D107" s="98" t="n"/>
      <c r="E107" s="106" t="n"/>
      <c r="F107" s="176" t="n"/>
      <c r="G107" s="108" t="n"/>
      <c r="H107" s="176" t="n"/>
      <c r="I107" s="109" t="n"/>
      <c r="J107" s="109" t="n"/>
      <c r="K107" s="109" t="n"/>
      <c r="L107" s="109" t="n"/>
      <c r="M107" s="109" t="n"/>
      <c r="N107" s="109" t="n"/>
      <c r="O107" s="109">
        <f>IF(OR(IF(K107="",IF(J107="",IF(I107="","",I107),J107),K107)="F", IF(N107="",IF(M107="",IF(L107="","",L107), M107),N107)="F")=TRUE,"F",
IF(OR(IF(K107="",IF(J107="",IF(I107="","",I107),J107),K107)="PE", IF(N107="",IF(M107="",IF(L107="","",L107), M107),N107)="PE")=TRUE,"PE",
IF(AND(IF(K107="",IF(J107="",IF(I107="","",I107),J107),K107)="", IF(N107="",IF(M107="",IF(L107="","",L107), M107),N107)="")=TRUE,"","P")))</f>
        <v/>
      </c>
      <c r="P107" s="176" t="n"/>
      <c r="Q107" s="176" t="n"/>
    </row>
    <row r="108" customFormat="1" s="99">
      <c r="A108" s="176" t="n"/>
      <c r="C108" s="98" t="n"/>
      <c r="D108" s="98" t="n"/>
      <c r="E108" s="106" t="n"/>
      <c r="F108" s="176" t="n"/>
      <c r="G108" s="108" t="n"/>
      <c r="H108" s="176" t="n"/>
      <c r="I108" s="109" t="n"/>
      <c r="J108" s="109" t="n"/>
      <c r="K108" s="109" t="n"/>
      <c r="L108" s="109" t="n"/>
      <c r="M108" s="109" t="n"/>
      <c r="N108" s="109" t="n"/>
      <c r="O108" s="109">
        <f>IF(OR(IF(K108="",IF(J108="",IF(I108="","",I108),J108),K108)="F", IF(N108="",IF(M108="",IF(L108="","",L108), M108),N108)="F")=TRUE,"F",
IF(OR(IF(K108="",IF(J108="",IF(I108="","",I108),J108),K108)="PE", IF(N108="",IF(M108="",IF(L108="","",L108), M108),N108)="PE")=TRUE,"PE",
IF(AND(IF(K108="",IF(J108="",IF(I108="","",I108),J108),K108)="", IF(N108="",IF(M108="",IF(L108="","",L108), M108),N108)="")=TRUE,"","P")))</f>
        <v/>
      </c>
      <c r="P108" s="176" t="n"/>
      <c r="Q108" s="176" t="n"/>
    </row>
    <row r="109" customFormat="1" s="99">
      <c r="A109" s="176" t="n"/>
      <c r="C109" s="98" t="n"/>
      <c r="D109" s="98" t="n"/>
      <c r="E109" s="106" t="n"/>
      <c r="F109" s="176" t="n"/>
      <c r="G109" s="108" t="n"/>
      <c r="H109" s="176" t="n"/>
      <c r="I109" s="109" t="n"/>
      <c r="J109" s="109" t="n"/>
      <c r="K109" s="109" t="n"/>
      <c r="L109" s="109" t="n"/>
      <c r="M109" s="109" t="n"/>
      <c r="N109" s="109" t="n"/>
      <c r="O109" s="109">
        <f>IF(OR(IF(K109="",IF(J109="",IF(I109="","",I109),J109),K109)="F", IF(N109="",IF(M109="",IF(L109="","",L109), M109),N109)="F")=TRUE,"F",
IF(OR(IF(K109="",IF(J109="",IF(I109="","",I109),J109),K109)="PE", IF(N109="",IF(M109="",IF(L109="","",L109), M109),N109)="PE")=TRUE,"PE",
IF(AND(IF(K109="",IF(J109="",IF(I109="","",I109),J109),K109)="", IF(N109="",IF(M109="",IF(L109="","",L109), M109),N109)="")=TRUE,"","P")))</f>
        <v/>
      </c>
      <c r="P109" s="176" t="n"/>
      <c r="Q109" s="176" t="n"/>
    </row>
    <row r="110" customFormat="1" s="99">
      <c r="A110" s="176" t="n"/>
      <c r="C110" s="98" t="n"/>
      <c r="D110" s="98" t="n"/>
      <c r="E110" s="106" t="n"/>
      <c r="F110" s="176" t="n"/>
      <c r="G110" s="108" t="n"/>
      <c r="H110" s="176" t="n"/>
      <c r="I110" s="109" t="n"/>
      <c r="J110" s="109" t="n"/>
      <c r="K110" s="109" t="n"/>
      <c r="L110" s="109" t="n"/>
      <c r="M110" s="109" t="n"/>
      <c r="N110" s="109" t="n"/>
      <c r="O110" s="109">
        <f>IF(OR(IF(K110="",IF(J110="",IF(I110="","",I110),J110),K110)="F", IF(N110="",IF(M110="",IF(L110="","",L110), M110),N110)="F")=TRUE,"F",
IF(OR(IF(K110="",IF(J110="",IF(I110="","",I110),J110),K110)="PE", IF(N110="",IF(M110="",IF(L110="","",L110), M110),N110)="PE")=TRUE,"PE",
IF(AND(IF(K110="",IF(J110="",IF(I110="","",I110),J110),K110)="", IF(N110="",IF(M110="",IF(L110="","",L110), M110),N110)="")=TRUE,"","P")))</f>
        <v/>
      </c>
      <c r="P110" s="176" t="n"/>
      <c r="Q110" s="176" t="n"/>
    </row>
    <row r="111" customFormat="1" s="99">
      <c r="A111" s="176" t="n"/>
      <c r="C111" s="98" t="n"/>
      <c r="D111" s="98" t="n"/>
      <c r="E111" s="106" t="n"/>
      <c r="F111" s="176" t="n"/>
      <c r="G111" s="108" t="n"/>
      <c r="H111" s="176" t="n"/>
      <c r="I111" s="109" t="n"/>
      <c r="J111" s="109" t="n"/>
      <c r="K111" s="109" t="n"/>
      <c r="L111" s="109" t="n"/>
      <c r="M111" s="109" t="n"/>
      <c r="N111" s="109" t="n"/>
      <c r="O111" s="109">
        <f>IF(OR(IF(K111="",IF(J111="",IF(I111="","",I111),J111),K111)="F", IF(N111="",IF(M111="",IF(L111="","",L111), M111),N111)="F")=TRUE,"F",
IF(OR(IF(K111="",IF(J111="",IF(I111="","",I111),J111),K111)="PE", IF(N111="",IF(M111="",IF(L111="","",L111), M111),N111)="PE")=TRUE,"PE",
IF(AND(IF(K111="",IF(J111="",IF(I111="","",I111),J111),K111)="", IF(N111="",IF(M111="",IF(L111="","",L111), M111),N111)="")=TRUE,"","P")))</f>
        <v/>
      </c>
      <c r="P111" s="176" t="n"/>
      <c r="Q111" s="176" t="n"/>
    </row>
    <row r="112" customFormat="1" s="99">
      <c r="A112" s="176" t="n"/>
      <c r="C112" s="98" t="n"/>
      <c r="D112" s="98" t="n"/>
      <c r="E112" s="106" t="n"/>
      <c r="F112" s="176" t="n"/>
      <c r="G112" s="108" t="n"/>
      <c r="H112" s="176" t="n"/>
      <c r="I112" s="109" t="n"/>
      <c r="J112" s="109" t="n"/>
      <c r="K112" s="109" t="n"/>
      <c r="L112" s="109" t="n"/>
      <c r="M112" s="109" t="n"/>
      <c r="N112" s="109" t="n"/>
      <c r="O112" s="109">
        <f>IF(OR(IF(K112="",IF(J112="",IF(I112="","",I112),J112),K112)="F", IF(N112="",IF(M112="",IF(L112="","",L112), M112),N112)="F")=TRUE,"F",
IF(OR(IF(K112="",IF(J112="",IF(I112="","",I112),J112),K112)="PE", IF(N112="",IF(M112="",IF(L112="","",L112), M112),N112)="PE")=TRUE,"PE",
IF(AND(IF(K112="",IF(J112="",IF(I112="","",I112),J112),K112)="", IF(N112="",IF(M112="",IF(L112="","",L112), M112),N112)="")=TRUE,"","P")))</f>
        <v/>
      </c>
      <c r="P112" s="176" t="n"/>
      <c r="Q112" s="176" t="n"/>
    </row>
    <row r="113" customFormat="1" s="99">
      <c r="A113" s="176" t="n"/>
      <c r="C113" s="98" t="n"/>
      <c r="D113" s="98" t="n"/>
      <c r="E113" s="106" t="n"/>
      <c r="F113" s="176" t="n"/>
      <c r="G113" s="108" t="n"/>
      <c r="H113" s="176" t="n"/>
      <c r="I113" s="109" t="n"/>
      <c r="J113" s="109" t="n"/>
      <c r="K113" s="109" t="n"/>
      <c r="L113" s="109" t="n"/>
      <c r="M113" s="109" t="n"/>
      <c r="N113" s="109" t="n"/>
      <c r="O113" s="109">
        <f>IF(OR(IF(K113="",IF(J113="",IF(I113="","",I113),J113),K113)="F", IF(N113="",IF(M113="",IF(L113="","",L113), M113),N113)="F")=TRUE,"F",
IF(OR(IF(K113="",IF(J113="",IF(I113="","",I113),J113),K113)="PE", IF(N113="",IF(M113="",IF(L113="","",L113), M113),N113)="PE")=TRUE,"PE",
IF(AND(IF(K113="",IF(J113="",IF(I113="","",I113),J113),K113)="", IF(N113="",IF(M113="",IF(L113="","",L113), M113),N113)="")=TRUE,"","P")))</f>
        <v/>
      </c>
      <c r="P113" s="176" t="n"/>
      <c r="Q113" s="176" t="n"/>
    </row>
    <row r="114" customFormat="1" s="99">
      <c r="A114" s="176" t="n"/>
      <c r="C114" s="98" t="n"/>
      <c r="D114" s="98" t="n"/>
      <c r="E114" s="106" t="n"/>
      <c r="F114" s="176" t="n"/>
      <c r="G114" s="108" t="n"/>
      <c r="H114" s="176" t="n"/>
      <c r="I114" s="109" t="n"/>
      <c r="J114" s="109" t="n"/>
      <c r="K114" s="109" t="n"/>
      <c r="L114" s="109" t="n"/>
      <c r="M114" s="109" t="n"/>
      <c r="N114" s="109" t="n"/>
      <c r="O114" s="109">
        <f>IF(OR(IF(K114="",IF(J114="",IF(I114="","",I114),J114),K114)="F", IF(N114="",IF(M114="",IF(L114="","",L114), M114),N114)="F")=TRUE,"F",
IF(OR(IF(K114="",IF(J114="",IF(I114="","",I114),J114),K114)="PE", IF(N114="",IF(M114="",IF(L114="","",L114), M114),N114)="PE")=TRUE,"PE",
IF(AND(IF(K114="",IF(J114="",IF(I114="","",I114),J114),K114)="", IF(N114="",IF(M114="",IF(L114="","",L114), M114),N114)="")=TRUE,"","P")))</f>
        <v/>
      </c>
      <c r="P114" s="176" t="n"/>
      <c r="Q114" s="176" t="n"/>
    </row>
    <row r="115" customFormat="1" s="99">
      <c r="A115" s="176" t="n"/>
      <c r="C115" s="98" t="n"/>
      <c r="D115" s="98" t="n"/>
      <c r="E115" s="106" t="n"/>
      <c r="F115" s="176" t="n"/>
      <c r="G115" s="108" t="n"/>
      <c r="H115" s="176" t="n"/>
      <c r="I115" s="109" t="n"/>
      <c r="J115" s="109" t="n"/>
      <c r="K115" s="109" t="n"/>
      <c r="L115" s="109" t="n"/>
      <c r="M115" s="109" t="n"/>
      <c r="N115" s="109" t="n"/>
      <c r="O115" s="109">
        <f>IF(OR(IF(K115="",IF(J115="",IF(I115="","",I115),J115),K115)="F", IF(N115="",IF(M115="",IF(L115="","",L115), M115),N115)="F")=TRUE,"F",
IF(OR(IF(K115="",IF(J115="",IF(I115="","",I115),J115),K115)="PE", IF(N115="",IF(M115="",IF(L115="","",L115), M115),N115)="PE")=TRUE,"PE",
IF(AND(IF(K115="",IF(J115="",IF(I115="","",I115),J115),K115)="", IF(N115="",IF(M115="",IF(L115="","",L115), M115),N115)="")=TRUE,"","P")))</f>
        <v/>
      </c>
      <c r="P115" s="176" t="n"/>
      <c r="Q115" s="176" t="n"/>
    </row>
    <row r="116" customFormat="1" s="99">
      <c r="A116" s="176" t="n"/>
      <c r="C116" s="98" t="n"/>
      <c r="D116" s="98" t="n"/>
      <c r="E116" s="106" t="n"/>
      <c r="F116" s="176" t="n"/>
      <c r="G116" s="108" t="n"/>
      <c r="H116" s="176" t="n"/>
      <c r="I116" s="109" t="n"/>
      <c r="J116" s="109" t="n"/>
      <c r="K116" s="109" t="n"/>
      <c r="L116" s="109" t="n"/>
      <c r="M116" s="109" t="n"/>
      <c r="N116" s="109" t="n"/>
      <c r="O116" s="109">
        <f>IF(OR(IF(K116="",IF(J116="",IF(I116="","",I116),J116),K116)="F", IF(N116="",IF(M116="",IF(L116="","",L116), M116),N116)="F")=TRUE,"F",
IF(OR(IF(K116="",IF(J116="",IF(I116="","",I116),J116),K116)="PE", IF(N116="",IF(M116="",IF(L116="","",L116), M116),N116)="PE")=TRUE,"PE",
IF(AND(IF(K116="",IF(J116="",IF(I116="","",I116),J116),K116)="", IF(N116="",IF(M116="",IF(L116="","",L116), M116),N116)="")=TRUE,"","P")))</f>
        <v/>
      </c>
      <c r="P116" s="176" t="n"/>
      <c r="Q116" s="176" t="n"/>
    </row>
    <row r="117" customFormat="1" s="99">
      <c r="A117" s="176" t="n"/>
      <c r="C117" s="98" t="n"/>
      <c r="D117" s="98" t="n"/>
      <c r="E117" s="106" t="n"/>
      <c r="F117" s="176" t="n"/>
      <c r="G117" s="108" t="n"/>
      <c r="H117" s="176" t="n"/>
      <c r="I117" s="109" t="n"/>
      <c r="J117" s="109" t="n"/>
      <c r="K117" s="109" t="n"/>
      <c r="L117" s="109" t="n"/>
      <c r="M117" s="109" t="n"/>
      <c r="N117" s="109" t="n"/>
      <c r="O117" s="109">
        <f>IF(OR(IF(K117="",IF(J117="",IF(I117="","",I117),J117),K117)="F", IF(N117="",IF(M117="",IF(L117="","",L117), M117),N117)="F")=TRUE,"F",
IF(OR(IF(K117="",IF(J117="",IF(I117="","",I117),J117),K117)="PE", IF(N117="",IF(M117="",IF(L117="","",L117), M117),N117)="PE")=TRUE,"PE",
IF(AND(IF(K117="",IF(J117="",IF(I117="","",I117),J117),K117)="", IF(N117="",IF(M117="",IF(L117="","",L117), M117),N117)="")=TRUE,"","P")))</f>
        <v/>
      </c>
      <c r="P117" s="176" t="n"/>
      <c r="Q117" s="176" t="n"/>
    </row>
    <row r="118" customFormat="1" s="99">
      <c r="A118" s="176" t="n"/>
      <c r="C118" s="98" t="n"/>
      <c r="D118" s="98" t="n"/>
      <c r="E118" s="106" t="n"/>
      <c r="F118" s="176" t="n"/>
      <c r="G118" s="108" t="n"/>
      <c r="H118" s="176" t="n"/>
      <c r="I118" s="109" t="n"/>
      <c r="J118" s="109" t="n"/>
      <c r="K118" s="109" t="n"/>
      <c r="L118" s="109" t="n"/>
      <c r="M118" s="109" t="n"/>
      <c r="N118" s="109" t="n"/>
      <c r="O118" s="109">
        <f>IF(OR(IF(K118="",IF(J118="",IF(I118="","",I118),J118),K118)="F", IF(N118="",IF(M118="",IF(L118="","",L118), M118),N118)="F")=TRUE,"F",
IF(OR(IF(K118="",IF(J118="",IF(I118="","",I118),J118),K118)="PE", IF(N118="",IF(M118="",IF(L118="","",L118), M118),N118)="PE")=TRUE,"PE",
IF(AND(IF(K118="",IF(J118="",IF(I118="","",I118),J118),K118)="", IF(N118="",IF(M118="",IF(L118="","",L118), M118),N118)="")=TRUE,"","P")))</f>
        <v/>
      </c>
      <c r="P118" s="176" t="n"/>
      <c r="Q118" s="176" t="n"/>
    </row>
    <row r="119" customFormat="1" s="99">
      <c r="A119" s="176" t="n"/>
      <c r="C119" s="98" t="n"/>
      <c r="D119" s="98" t="n"/>
      <c r="E119" s="106" t="n"/>
      <c r="F119" s="176" t="n"/>
      <c r="G119" s="108" t="n"/>
      <c r="H119" s="176" t="n"/>
      <c r="I119" s="109" t="n"/>
      <c r="J119" s="109" t="n"/>
      <c r="K119" s="109" t="n"/>
      <c r="L119" s="109" t="n"/>
      <c r="M119" s="109" t="n"/>
      <c r="N119" s="109" t="n"/>
      <c r="O119" s="109">
        <f>IF(OR(IF(K119="",IF(J119="",IF(I119="","",I119),J119),K119)="F", IF(N119="",IF(M119="",IF(L119="","",L119), M119),N119)="F")=TRUE,"F",
IF(OR(IF(K119="",IF(J119="",IF(I119="","",I119),J119),K119)="PE", IF(N119="",IF(M119="",IF(L119="","",L119), M119),N119)="PE")=TRUE,"PE",
IF(AND(IF(K119="",IF(J119="",IF(I119="","",I119),J119),K119)="", IF(N119="",IF(M119="",IF(L119="","",L119), M119),N119)="")=TRUE,"","P")))</f>
        <v/>
      </c>
      <c r="P119" s="176" t="n"/>
      <c r="Q119" s="176" t="n"/>
    </row>
    <row r="120" customFormat="1" s="99">
      <c r="A120" s="176" t="n"/>
      <c r="C120" s="98" t="n"/>
      <c r="D120" s="98" t="n"/>
      <c r="E120" s="106" t="n"/>
      <c r="F120" s="176" t="n"/>
      <c r="G120" s="108" t="n"/>
      <c r="H120" s="176" t="n"/>
      <c r="I120" s="109" t="n"/>
      <c r="J120" s="109" t="n"/>
      <c r="K120" s="109" t="n"/>
      <c r="L120" s="109" t="n"/>
      <c r="M120" s="109" t="n"/>
      <c r="N120" s="109" t="n"/>
      <c r="O120" s="109">
        <f>IF(OR(IF(K120="",IF(J120="",IF(I120="","",I120),J120),K120)="F", IF(N120="",IF(M120="",IF(L120="","",L120), M120),N120)="F")=TRUE,"F",
IF(OR(IF(K120="",IF(J120="",IF(I120="","",I120),J120),K120)="PE", IF(N120="",IF(M120="",IF(L120="","",L120), M120),N120)="PE")=TRUE,"PE",
IF(AND(IF(K120="",IF(J120="",IF(I120="","",I120),J120),K120)="", IF(N120="",IF(M120="",IF(L120="","",L120), M120),N120)="")=TRUE,"","P")))</f>
        <v/>
      </c>
      <c r="P120" s="176" t="n"/>
      <c r="Q120" s="176" t="n"/>
    </row>
    <row r="121" customFormat="1" s="99">
      <c r="A121" s="176" t="n"/>
      <c r="C121" s="98" t="n"/>
      <c r="D121" s="98" t="n"/>
      <c r="E121" s="106" t="n"/>
      <c r="F121" s="176" t="n"/>
      <c r="G121" s="108" t="n"/>
      <c r="H121" s="176" t="n"/>
      <c r="I121" s="109" t="n"/>
      <c r="J121" s="109" t="n"/>
      <c r="K121" s="109" t="n"/>
      <c r="L121" s="109" t="n"/>
      <c r="M121" s="109" t="n"/>
      <c r="N121" s="109" t="n"/>
      <c r="O121" s="109">
        <f>IF(OR(IF(K121="",IF(J121="",IF(I121="","",I121),J121),K121)="F", IF(N121="",IF(M121="",IF(L121="","",L121), M121),N121)="F")=TRUE,"F",
IF(OR(IF(K121="",IF(J121="",IF(I121="","",I121),J121),K121)="PE", IF(N121="",IF(M121="",IF(L121="","",L121), M121),N121)="PE")=TRUE,"PE",
IF(AND(IF(K121="",IF(J121="",IF(I121="","",I121),J121),K121)="", IF(N121="",IF(M121="",IF(L121="","",L121), M121),N121)="")=TRUE,"","P")))</f>
        <v/>
      </c>
      <c r="P121" s="176" t="n"/>
      <c r="Q121" s="176" t="n"/>
    </row>
    <row r="122" customFormat="1" s="99">
      <c r="A122" s="176" t="n"/>
      <c r="C122" s="98" t="n"/>
      <c r="D122" s="98" t="n"/>
      <c r="E122" s="106" t="n"/>
      <c r="F122" s="176" t="n"/>
      <c r="G122" s="108" t="n"/>
      <c r="H122" s="176" t="n"/>
      <c r="I122" s="109" t="n"/>
      <c r="J122" s="109" t="n"/>
      <c r="K122" s="109" t="n"/>
      <c r="L122" s="109" t="n"/>
      <c r="M122" s="109" t="n"/>
      <c r="N122" s="109" t="n"/>
      <c r="O122" s="109">
        <f>IF(OR(IF(K122="",IF(J122="",IF(I122="","",I122),J122),K122)="F", IF(N122="",IF(M122="",IF(L122="","",L122), M122),N122)="F")=TRUE,"F",
IF(OR(IF(K122="",IF(J122="",IF(I122="","",I122),J122),K122)="PE", IF(N122="",IF(M122="",IF(L122="","",L122), M122),N122)="PE")=TRUE,"PE",
IF(AND(IF(K122="",IF(J122="",IF(I122="","",I122),J122),K122)="", IF(N122="",IF(M122="",IF(L122="","",L122), M122),N122)="")=TRUE,"","P")))</f>
        <v/>
      </c>
      <c r="P122" s="176" t="n"/>
      <c r="Q122" s="176" t="n"/>
    </row>
    <row r="123" customFormat="1" s="99">
      <c r="A123" s="176" t="n"/>
      <c r="C123" s="98" t="n"/>
      <c r="D123" s="98" t="n"/>
      <c r="E123" s="106" t="n"/>
      <c r="F123" s="176" t="n"/>
      <c r="G123" s="108" t="n"/>
      <c r="H123" s="176" t="n"/>
      <c r="I123" s="109" t="n"/>
      <c r="J123" s="109" t="n"/>
      <c r="K123" s="109" t="n"/>
      <c r="L123" s="109" t="n"/>
      <c r="M123" s="109" t="n"/>
      <c r="N123" s="109" t="n"/>
      <c r="O123" s="109">
        <f>IF(OR(IF(K123="",IF(J123="",IF(I123="","",I123),J123),K123)="F", IF(N123="",IF(M123="",IF(L123="","",L123), M123),N123)="F")=TRUE,"F",
IF(OR(IF(K123="",IF(J123="",IF(I123="","",I123),J123),K123)="PE", IF(N123="",IF(M123="",IF(L123="","",L123), M123),N123)="PE")=TRUE,"PE",
IF(AND(IF(K123="",IF(J123="",IF(I123="","",I123),J123),K123)="", IF(N123="",IF(M123="",IF(L123="","",L123), M123),N123)="")=TRUE,"","P")))</f>
        <v/>
      </c>
      <c r="P123" s="176" t="n"/>
      <c r="Q123" s="176" t="n"/>
    </row>
    <row r="124" customFormat="1" s="99">
      <c r="A124" s="176" t="n"/>
      <c r="C124" s="98" t="n"/>
      <c r="D124" s="98" t="n"/>
      <c r="E124" s="106" t="n"/>
      <c r="F124" s="176" t="n"/>
      <c r="G124" s="108" t="n"/>
      <c r="H124" s="176" t="n"/>
      <c r="I124" s="109" t="n"/>
      <c r="J124" s="109" t="n"/>
      <c r="K124" s="109" t="n"/>
      <c r="L124" s="109" t="n"/>
      <c r="M124" s="109" t="n"/>
      <c r="N124" s="109" t="n"/>
      <c r="O124" s="109">
        <f>IF(OR(IF(K124="",IF(J124="",IF(I124="","",I124),J124),K124)="F", IF(N124="",IF(M124="",IF(L124="","",L124), M124),N124)="F")=TRUE,"F",
IF(OR(IF(K124="",IF(J124="",IF(I124="","",I124),J124),K124)="PE", IF(N124="",IF(M124="",IF(L124="","",L124), M124),N124)="PE")=TRUE,"PE",
IF(AND(IF(K124="",IF(J124="",IF(I124="","",I124),J124),K124)="", IF(N124="",IF(M124="",IF(L124="","",L124), M124),N124)="")=TRUE,"","P")))</f>
        <v/>
      </c>
      <c r="P124" s="176" t="n"/>
      <c r="Q124" s="176" t="n"/>
    </row>
    <row r="125" customFormat="1" s="99">
      <c r="A125" s="176" t="n"/>
      <c r="C125" s="98" t="n"/>
      <c r="D125" s="98" t="n"/>
      <c r="E125" s="106" t="n"/>
      <c r="F125" s="176" t="n"/>
      <c r="G125" s="108" t="n"/>
      <c r="H125" s="176" t="n"/>
      <c r="I125" s="109" t="n"/>
      <c r="J125" s="109" t="n"/>
      <c r="K125" s="109" t="n"/>
      <c r="L125" s="109" t="n"/>
      <c r="M125" s="109" t="n"/>
      <c r="N125" s="109" t="n"/>
      <c r="O125" s="109">
        <f>IF(OR(IF(K125="",IF(J125="",IF(I125="","",I125),J125),K125)="F", IF(N125="",IF(M125="",IF(L125="","",L125), M125),N125)="F")=TRUE,"F",
IF(OR(IF(K125="",IF(J125="",IF(I125="","",I125),J125),K125)="PE", IF(N125="",IF(M125="",IF(L125="","",L125), M125),N125)="PE")=TRUE,"PE",
IF(AND(IF(K125="",IF(J125="",IF(I125="","",I125),J125),K125)="", IF(N125="",IF(M125="",IF(L125="","",L125), M125),N125)="")=TRUE,"","P")))</f>
        <v/>
      </c>
      <c r="P125" s="176" t="n"/>
      <c r="Q125" s="176" t="n"/>
    </row>
    <row r="126" customFormat="1" s="99">
      <c r="A126" s="176" t="n"/>
      <c r="C126" s="98" t="n"/>
      <c r="D126" s="98" t="n"/>
      <c r="E126" s="106" t="n"/>
      <c r="F126" s="176" t="n"/>
      <c r="G126" s="108" t="n"/>
      <c r="H126" s="176" t="n"/>
      <c r="I126" s="109" t="n"/>
      <c r="J126" s="109" t="n"/>
      <c r="K126" s="109" t="n"/>
      <c r="L126" s="109" t="n"/>
      <c r="M126" s="109" t="n"/>
      <c r="N126" s="109" t="n"/>
      <c r="O126" s="109">
        <f>IF(OR(IF(K126="",IF(J126="",IF(I126="","",I126),J126),K126)="F", IF(N126="",IF(M126="",IF(L126="","",L126), M126),N126)="F")=TRUE,"F",
IF(OR(IF(K126="",IF(J126="",IF(I126="","",I126),J126),K126)="PE", IF(N126="",IF(M126="",IF(L126="","",L126), M126),N126)="PE")=TRUE,"PE",
IF(AND(IF(K126="",IF(J126="",IF(I126="","",I126),J126),K126)="", IF(N126="",IF(M126="",IF(L126="","",L126), M126),N126)="")=TRUE,"","P")))</f>
        <v/>
      </c>
      <c r="P126" s="176" t="n"/>
      <c r="Q126" s="176" t="n"/>
    </row>
    <row r="127" customFormat="1" s="99">
      <c r="A127" s="176" t="n"/>
      <c r="C127" s="98" t="n"/>
      <c r="D127" s="98" t="n"/>
      <c r="E127" s="106" t="n"/>
      <c r="F127" s="176" t="n"/>
      <c r="G127" s="108" t="n"/>
      <c r="H127" s="176" t="n"/>
      <c r="I127" s="109" t="n"/>
      <c r="J127" s="109" t="n"/>
      <c r="K127" s="109" t="n"/>
      <c r="L127" s="109" t="n"/>
      <c r="M127" s="109" t="n"/>
      <c r="N127" s="109" t="n"/>
      <c r="O127" s="109">
        <f>IF(OR(IF(K127="",IF(J127="",IF(I127="","",I127),J127),K127)="F", IF(N127="",IF(M127="",IF(L127="","",L127), M127),N127)="F")=TRUE,"F",
IF(OR(IF(K127="",IF(J127="",IF(I127="","",I127),J127),K127)="PE", IF(N127="",IF(M127="",IF(L127="","",L127), M127),N127)="PE")=TRUE,"PE",
IF(AND(IF(K127="",IF(J127="",IF(I127="","",I127),J127),K127)="", IF(N127="",IF(M127="",IF(L127="","",L127), M127),N127)="")=TRUE,"","P")))</f>
        <v/>
      </c>
      <c r="P127" s="176" t="n"/>
      <c r="Q127" s="176" t="n"/>
    </row>
    <row r="128" customFormat="1" s="99">
      <c r="A128" s="176" t="n"/>
      <c r="C128" s="98" t="n"/>
      <c r="D128" s="98" t="n"/>
      <c r="E128" s="106" t="n"/>
      <c r="F128" s="176" t="n"/>
      <c r="G128" s="108" t="n"/>
      <c r="H128" s="176" t="n"/>
      <c r="I128" s="109" t="n"/>
      <c r="J128" s="109" t="n"/>
      <c r="K128" s="109" t="n"/>
      <c r="L128" s="109" t="n"/>
      <c r="M128" s="109" t="n"/>
      <c r="N128" s="109" t="n"/>
      <c r="O128" s="109">
        <f>IF(OR(IF(K128="",IF(J128="",IF(I128="","",I128),J128),K128)="F", IF(N128="",IF(M128="",IF(L128="","",L128), M128),N128)="F")=TRUE,"F",
IF(OR(IF(K128="",IF(J128="",IF(I128="","",I128),J128),K128)="PE", IF(N128="",IF(M128="",IF(L128="","",L128), M128),N128)="PE")=TRUE,"PE",
IF(AND(IF(K128="",IF(J128="",IF(I128="","",I128),J128),K128)="", IF(N128="",IF(M128="",IF(L128="","",L128), M128),N128)="")=TRUE,"","P")))</f>
        <v/>
      </c>
      <c r="P128" s="176" t="n"/>
      <c r="Q128" s="176" t="n"/>
    </row>
    <row r="129" customFormat="1" s="99">
      <c r="A129" s="176" t="n"/>
      <c r="C129" s="98" t="n"/>
      <c r="D129" s="98" t="n"/>
      <c r="E129" s="106" t="n"/>
      <c r="F129" s="176" t="n"/>
      <c r="G129" s="108" t="n"/>
      <c r="H129" s="176" t="n"/>
      <c r="I129" s="109" t="n"/>
      <c r="J129" s="109" t="n"/>
      <c r="K129" s="109" t="n"/>
      <c r="L129" s="109" t="n"/>
      <c r="M129" s="109" t="n"/>
      <c r="N129" s="109" t="n"/>
      <c r="O129" s="109">
        <f>IF(OR(IF(K129="",IF(J129="",IF(I129="","",I129),J129),K129)="F", IF(N129="",IF(M129="",IF(L129="","",L129), M129),N129)="F")=TRUE,"F",
IF(OR(IF(K129="",IF(J129="",IF(I129="","",I129),J129),K129)="PE", IF(N129="",IF(M129="",IF(L129="","",L129), M129),N129)="PE")=TRUE,"PE",
IF(AND(IF(K129="",IF(J129="",IF(I129="","",I129),J129),K129)="", IF(N129="",IF(M129="",IF(L129="","",L129), M129),N129)="")=TRUE,"","P")))</f>
        <v/>
      </c>
      <c r="P129" s="176" t="n"/>
      <c r="Q129" s="176" t="n"/>
    </row>
    <row r="130" customFormat="1" s="99">
      <c r="A130" s="176" t="n"/>
      <c r="C130" s="98" t="n"/>
      <c r="D130" s="98" t="n"/>
      <c r="E130" s="106" t="n"/>
      <c r="F130" s="176" t="n"/>
      <c r="G130" s="108" t="n"/>
      <c r="H130" s="176" t="n"/>
      <c r="I130" s="109" t="n"/>
      <c r="J130" s="109" t="n"/>
      <c r="K130" s="109" t="n"/>
      <c r="L130" s="109" t="n"/>
      <c r="M130" s="109" t="n"/>
      <c r="N130" s="109" t="n"/>
      <c r="O130" s="109">
        <f>IF(OR(IF(K130="",IF(J130="",IF(I130="","",I130),J130),K130)="F", IF(N130="",IF(M130="",IF(L130="","",L130), M130),N130)="F")=TRUE,"F",
IF(OR(IF(K130="",IF(J130="",IF(I130="","",I130),J130),K130)="PE", IF(N130="",IF(M130="",IF(L130="","",L130), M130),N130)="PE")=TRUE,"PE",
IF(AND(IF(K130="",IF(J130="",IF(I130="","",I130),J130),K130)="", IF(N130="",IF(M130="",IF(L130="","",L130), M130),N130)="")=TRUE,"","P")))</f>
        <v/>
      </c>
      <c r="P130" s="176" t="n"/>
      <c r="Q130" s="176" t="n"/>
    </row>
    <row r="131" customFormat="1" s="99">
      <c r="A131" s="176" t="n"/>
      <c r="C131" s="98" t="n"/>
      <c r="D131" s="98" t="n"/>
      <c r="E131" s="106" t="n"/>
      <c r="F131" s="176" t="n"/>
      <c r="G131" s="108" t="n"/>
      <c r="H131" s="176" t="n"/>
      <c r="I131" s="109" t="n"/>
      <c r="J131" s="109" t="n"/>
      <c r="K131" s="109" t="n"/>
      <c r="L131" s="109" t="n"/>
      <c r="M131" s="109" t="n"/>
      <c r="N131" s="109" t="n"/>
      <c r="O131" s="109">
        <f>IF(OR(IF(K131="",IF(J131="",IF(I131="","",I131),J131),K131)="F", IF(N131="",IF(M131="",IF(L131="","",L131), M131),N131)="F")=TRUE,"F",
IF(OR(IF(K131="",IF(J131="",IF(I131="","",I131),J131),K131)="PE", IF(N131="",IF(M131="",IF(L131="","",L131), M131),N131)="PE")=TRUE,"PE",
IF(AND(IF(K131="",IF(J131="",IF(I131="","",I131),J131),K131)="", IF(N131="",IF(M131="",IF(L131="","",L131), M131),N131)="")=TRUE,"","P")))</f>
        <v/>
      </c>
      <c r="P131" s="176" t="n"/>
      <c r="Q131" s="176" t="n"/>
    </row>
    <row r="132" customFormat="1" s="99">
      <c r="A132" s="176" t="n"/>
      <c r="C132" s="98" t="n"/>
      <c r="D132" s="98" t="n"/>
      <c r="E132" s="106" t="n"/>
      <c r="F132" s="176" t="n"/>
      <c r="G132" s="108" t="n"/>
      <c r="H132" s="176" t="n"/>
      <c r="I132" s="109" t="n"/>
      <c r="J132" s="109" t="n"/>
      <c r="K132" s="109" t="n"/>
      <c r="L132" s="109" t="n"/>
      <c r="M132" s="109" t="n"/>
      <c r="N132" s="109" t="n"/>
      <c r="O132" s="109">
        <f>IF(OR(IF(K132="",IF(J132="",IF(I132="","",I132),J132),K132)="F", IF(N132="",IF(M132="",IF(L132="","",L132), M132),N132)="F")=TRUE,"F",
IF(OR(IF(K132="",IF(J132="",IF(I132="","",I132),J132),K132)="PE", IF(N132="",IF(M132="",IF(L132="","",L132), M132),N132)="PE")=TRUE,"PE",
IF(AND(IF(K132="",IF(J132="",IF(I132="","",I132),J132),K132)="", IF(N132="",IF(M132="",IF(L132="","",L132), M132),N132)="")=TRUE,"","P")))</f>
        <v/>
      </c>
      <c r="P132" s="176" t="n"/>
      <c r="Q132" s="176" t="n"/>
    </row>
    <row r="133" customFormat="1" s="99">
      <c r="A133" s="176" t="n"/>
      <c r="C133" s="98" t="n"/>
      <c r="D133" s="98" t="n"/>
      <c r="E133" s="106" t="n"/>
      <c r="F133" s="176" t="n"/>
      <c r="G133" s="108" t="n"/>
      <c r="H133" s="176" t="n"/>
      <c r="I133" s="109" t="n"/>
      <c r="J133" s="109" t="n"/>
      <c r="K133" s="109" t="n"/>
      <c r="L133" s="109" t="n"/>
      <c r="M133" s="109" t="n"/>
      <c r="N133" s="109" t="n"/>
      <c r="O133" s="109">
        <f>IF(OR(IF(K133="",IF(J133="",IF(I133="","",I133),J133),K133)="F", IF(N133="",IF(M133="",IF(L133="","",L133), M133),N133)="F")=TRUE,"F",
IF(OR(IF(K133="",IF(J133="",IF(I133="","",I133),J133),K133)="PE", IF(N133="",IF(M133="",IF(L133="","",L133), M133),N133)="PE")=TRUE,"PE",
IF(AND(IF(K133="",IF(J133="",IF(I133="","",I133),J133),K133)="", IF(N133="",IF(M133="",IF(L133="","",L133), M133),N133)="")=TRUE,"","P")))</f>
        <v/>
      </c>
      <c r="P133" s="176" t="n"/>
      <c r="Q133" s="176" t="n"/>
    </row>
    <row r="134" customFormat="1" s="99">
      <c r="A134" s="176" t="n"/>
      <c r="C134" s="98" t="n"/>
      <c r="D134" s="98" t="n"/>
      <c r="E134" s="106" t="n"/>
      <c r="F134" s="176" t="n"/>
      <c r="G134" s="108" t="n"/>
      <c r="H134" s="176" t="n"/>
      <c r="I134" s="109" t="n"/>
      <c r="J134" s="109" t="n"/>
      <c r="K134" s="109" t="n"/>
      <c r="L134" s="109" t="n"/>
      <c r="M134" s="109" t="n"/>
      <c r="N134" s="109" t="n"/>
      <c r="O134" s="109">
        <f>IF(OR(IF(K134="",IF(J134="",IF(I134="","",I134),J134),K134)="F", IF(N134="",IF(M134="",IF(L134="","",L134), M134),N134)="F")=TRUE,"F",
IF(OR(IF(K134="",IF(J134="",IF(I134="","",I134),J134),K134)="PE", IF(N134="",IF(M134="",IF(L134="","",L134), M134),N134)="PE")=TRUE,"PE",
IF(AND(IF(K134="",IF(J134="",IF(I134="","",I134),J134),K134)="", IF(N134="",IF(M134="",IF(L134="","",L134), M134),N134)="")=TRUE,"","P")))</f>
        <v/>
      </c>
      <c r="P134" s="176" t="n"/>
      <c r="Q134" s="176" t="n"/>
    </row>
    <row r="135" customFormat="1" s="99">
      <c r="A135" s="176" t="n"/>
      <c r="C135" s="98" t="n"/>
      <c r="D135" s="98" t="n"/>
      <c r="E135" s="106" t="n"/>
      <c r="F135" s="176" t="n"/>
      <c r="G135" s="108" t="n"/>
      <c r="H135" s="176" t="n"/>
      <c r="I135" s="109" t="n"/>
      <c r="J135" s="109" t="n"/>
      <c r="K135" s="109" t="n"/>
      <c r="L135" s="109" t="n"/>
      <c r="M135" s="109" t="n"/>
      <c r="N135" s="109" t="n"/>
      <c r="O135" s="109">
        <f>IF(OR(IF(K135="",IF(J135="",IF(I135="","",I135),J135),K135)="F", IF(N135="",IF(M135="",IF(L135="","",L135), M135),N135)="F")=TRUE,"F",
IF(OR(IF(K135="",IF(J135="",IF(I135="","",I135),J135),K135)="PE", IF(N135="",IF(M135="",IF(L135="","",L135), M135),N135)="PE")=TRUE,"PE",
IF(AND(IF(K135="",IF(J135="",IF(I135="","",I135),J135),K135)="", IF(N135="",IF(M135="",IF(L135="","",L135), M135),N135)="")=TRUE,"","P")))</f>
        <v/>
      </c>
      <c r="P135" s="176" t="n"/>
      <c r="Q135" s="176" t="n"/>
    </row>
    <row r="136" customFormat="1" s="99">
      <c r="A136" s="176" t="n"/>
      <c r="C136" s="98" t="n"/>
      <c r="D136" s="98" t="n"/>
      <c r="E136" s="106" t="n"/>
      <c r="F136" s="176" t="n"/>
      <c r="G136" s="108" t="n"/>
      <c r="H136" s="176" t="n"/>
      <c r="I136" s="109" t="n"/>
      <c r="J136" s="109" t="n"/>
      <c r="K136" s="109" t="n"/>
      <c r="L136" s="109" t="n"/>
      <c r="M136" s="109" t="n"/>
      <c r="N136" s="109" t="n"/>
      <c r="O136" s="109">
        <f>IF(OR(IF(K136="",IF(J136="",IF(I136="","",I136),J136),K136)="F", IF(N136="",IF(M136="",IF(L136="","",L136), M136),N136)="F")=TRUE,"F",
IF(OR(IF(K136="",IF(J136="",IF(I136="","",I136),J136),K136)="PE", IF(N136="",IF(M136="",IF(L136="","",L136), M136),N136)="PE")=TRUE,"PE",
IF(AND(IF(K136="",IF(J136="",IF(I136="","",I136),J136),K136)="", IF(N136="",IF(M136="",IF(L136="","",L136), M136),N136)="")=TRUE,"","P")))</f>
        <v/>
      </c>
      <c r="P136" s="176" t="n"/>
      <c r="Q136" s="176" t="n"/>
    </row>
    <row r="137" customFormat="1" s="99">
      <c r="A137" s="176" t="n"/>
      <c r="C137" s="98" t="n"/>
      <c r="D137" s="98" t="n"/>
      <c r="E137" s="106" t="n"/>
      <c r="F137" s="176" t="n"/>
      <c r="G137" s="108" t="n"/>
      <c r="H137" s="176" t="n"/>
      <c r="I137" s="109" t="n"/>
      <c r="J137" s="109" t="n"/>
      <c r="K137" s="109" t="n"/>
      <c r="L137" s="109" t="n"/>
      <c r="M137" s="109" t="n"/>
      <c r="N137" s="109" t="n"/>
      <c r="O137" s="109">
        <f>IF(OR(IF(K137="",IF(J137="",IF(I137="","",I137),J137),K137)="F", IF(N137="",IF(M137="",IF(L137="","",L137), M137),N137)="F")=TRUE,"F",
IF(OR(IF(K137="",IF(J137="",IF(I137="","",I137),J137),K137)="PE", IF(N137="",IF(M137="",IF(L137="","",L137), M137),N137)="PE")=TRUE,"PE",
IF(AND(IF(K137="",IF(J137="",IF(I137="","",I137),J137),K137)="", IF(N137="",IF(M137="",IF(L137="","",L137), M137),N137)="")=TRUE,"","P")))</f>
        <v/>
      </c>
      <c r="P137" s="176" t="n"/>
      <c r="Q137" s="176" t="n"/>
    </row>
    <row r="138" customFormat="1" s="99">
      <c r="A138" s="176" t="n"/>
      <c r="C138" s="98" t="n"/>
      <c r="D138" s="98" t="n"/>
      <c r="E138" s="106" t="n"/>
      <c r="F138" s="176" t="n"/>
      <c r="G138" s="108" t="n"/>
      <c r="H138" s="176" t="n"/>
      <c r="I138" s="109" t="n"/>
      <c r="J138" s="109" t="n"/>
      <c r="K138" s="109" t="n"/>
      <c r="L138" s="109" t="n"/>
      <c r="M138" s="109" t="n"/>
      <c r="N138" s="109" t="n"/>
      <c r="O138" s="109">
        <f>IF(OR(IF(K138="",IF(J138="",IF(I138="","",I138),J138),K138)="F", IF(N138="",IF(M138="",IF(L138="","",L138), M138),N138)="F")=TRUE,"F",
IF(OR(IF(K138="",IF(J138="",IF(I138="","",I138),J138),K138)="PE", IF(N138="",IF(M138="",IF(L138="","",L138), M138),N138)="PE")=TRUE,"PE",
IF(AND(IF(K138="",IF(J138="",IF(I138="","",I138),J138),K138)="", IF(N138="",IF(M138="",IF(L138="","",L138), M138),N138)="")=TRUE,"","P")))</f>
        <v/>
      </c>
      <c r="P138" s="176" t="n"/>
      <c r="Q138" s="176" t="n"/>
    </row>
    <row r="139" customFormat="1" s="99">
      <c r="A139" s="176" t="n"/>
      <c r="C139" s="98" t="n"/>
      <c r="D139" s="98" t="n"/>
      <c r="E139" s="106" t="n"/>
      <c r="F139" s="176" t="n"/>
      <c r="G139" s="108" t="n"/>
      <c r="H139" s="176" t="n"/>
      <c r="I139" s="109" t="n"/>
      <c r="J139" s="109" t="n"/>
      <c r="K139" s="109" t="n"/>
      <c r="L139" s="109" t="n"/>
      <c r="M139" s="109" t="n"/>
      <c r="N139" s="109" t="n"/>
      <c r="O139" s="109">
        <f>IF(OR(IF(K139="",IF(J139="",IF(I139="","",I139),J139),K139)="F", IF(N139="",IF(M139="",IF(L139="","",L139), M139),N139)="F")=TRUE,"F",
IF(OR(IF(K139="",IF(J139="",IF(I139="","",I139),J139),K139)="PE", IF(N139="",IF(M139="",IF(L139="","",L139), M139),N139)="PE")=TRUE,"PE",
IF(AND(IF(K139="",IF(J139="",IF(I139="","",I139),J139),K139)="", IF(N139="",IF(M139="",IF(L139="","",L139), M139),N139)="")=TRUE,"","P")))</f>
        <v/>
      </c>
      <c r="P139" s="176" t="n"/>
      <c r="Q139" s="176" t="n"/>
    </row>
    <row r="140" customFormat="1" s="99">
      <c r="A140" s="176" t="n"/>
      <c r="C140" s="98" t="n"/>
      <c r="D140" s="98" t="n"/>
      <c r="E140" s="106" t="n"/>
      <c r="F140" s="176" t="n"/>
      <c r="G140" s="108" t="n"/>
      <c r="H140" s="176" t="n"/>
      <c r="I140" s="109" t="n"/>
      <c r="J140" s="109" t="n"/>
      <c r="K140" s="109" t="n"/>
      <c r="L140" s="109" t="n"/>
      <c r="M140" s="109" t="n"/>
      <c r="N140" s="109" t="n"/>
      <c r="O140" s="109">
        <f>IF(OR(IF(K140="",IF(J140="",IF(I140="","",I140),J140),K140)="F", IF(N140="",IF(M140="",IF(L140="","",L140), M140),N140)="F")=TRUE,"F",
IF(OR(IF(K140="",IF(J140="",IF(I140="","",I140),J140),K140)="PE", IF(N140="",IF(M140="",IF(L140="","",L140), M140),N140)="PE")=TRUE,"PE",
IF(AND(IF(K140="",IF(J140="",IF(I140="","",I140),J140),K140)="", IF(N140="",IF(M140="",IF(L140="","",L140), M140),N140)="")=TRUE,"","P")))</f>
        <v/>
      </c>
      <c r="P140" s="176" t="n"/>
      <c r="Q140" s="176" t="n"/>
    </row>
    <row r="141" customFormat="1" s="99">
      <c r="A141" s="176" t="n"/>
      <c r="C141" s="98" t="n"/>
      <c r="D141" s="98" t="n"/>
      <c r="E141" s="106" t="n"/>
      <c r="F141" s="176" t="n"/>
      <c r="G141" s="108" t="n"/>
      <c r="H141" s="176" t="n"/>
      <c r="I141" s="109" t="n"/>
      <c r="J141" s="109" t="n"/>
      <c r="K141" s="109" t="n"/>
      <c r="L141" s="109" t="n"/>
      <c r="M141" s="109" t="n"/>
      <c r="N141" s="109" t="n"/>
      <c r="O141" s="109">
        <f>IF(OR(IF(K141="",IF(J141="",IF(I141="","",I141),J141),K141)="F", IF(N141="",IF(M141="",IF(L141="","",L141), M141),N141)="F")=TRUE,"F",
IF(OR(IF(K141="",IF(J141="",IF(I141="","",I141),J141),K141)="PE", IF(N141="",IF(M141="",IF(L141="","",L141), M141),N141)="PE")=TRUE,"PE",
IF(AND(IF(K141="",IF(J141="",IF(I141="","",I141),J141),K141)="", IF(N141="",IF(M141="",IF(L141="","",L141), M141),N141)="")=TRUE,"","P")))</f>
        <v/>
      </c>
      <c r="P141" s="176" t="n"/>
      <c r="Q141" s="176" t="n"/>
    </row>
    <row r="142" customFormat="1" s="99">
      <c r="A142" s="176" t="n"/>
      <c r="C142" s="98" t="n"/>
      <c r="D142" s="98" t="n"/>
      <c r="E142" s="106" t="n"/>
      <c r="F142" s="176" t="n"/>
      <c r="G142" s="108" t="n"/>
      <c r="H142" s="176" t="n"/>
      <c r="I142" s="109" t="n"/>
      <c r="J142" s="109" t="n"/>
      <c r="K142" s="109" t="n"/>
      <c r="L142" s="109" t="n"/>
      <c r="M142" s="109" t="n"/>
      <c r="N142" s="109" t="n"/>
      <c r="O142" s="109">
        <f>IF(OR(IF(K142="",IF(J142="",IF(I142="","",I142),J142),K142)="F", IF(N142="",IF(M142="",IF(L142="","",L142), M142),N142)="F")=TRUE,"F",
IF(OR(IF(K142="",IF(J142="",IF(I142="","",I142),J142),K142)="PE", IF(N142="",IF(M142="",IF(L142="","",L142), M142),N142)="PE")=TRUE,"PE",
IF(AND(IF(K142="",IF(J142="",IF(I142="","",I142),J142),K142)="", IF(N142="",IF(M142="",IF(L142="","",L142), M142),N142)="")=TRUE,"","P")))</f>
        <v/>
      </c>
      <c r="P142" s="176" t="n"/>
      <c r="Q142" s="176" t="n"/>
    </row>
    <row r="143" customFormat="1" s="99">
      <c r="A143" s="176" t="n"/>
      <c r="C143" s="98" t="n"/>
      <c r="D143" s="98" t="n"/>
      <c r="E143" s="106" t="n"/>
      <c r="F143" s="176" t="n"/>
      <c r="G143" s="108" t="n"/>
      <c r="H143" s="176" t="n"/>
      <c r="I143" s="109" t="n"/>
      <c r="J143" s="109" t="n"/>
      <c r="K143" s="109" t="n"/>
      <c r="L143" s="109" t="n"/>
      <c r="M143" s="109" t="n"/>
      <c r="N143" s="109" t="n"/>
      <c r="O143" s="109">
        <f>IF(OR(IF(K143="",IF(J143="",IF(I143="","",I143),J143),K143)="F", IF(N143="",IF(M143="",IF(L143="","",L143), M143),N143)="F")=TRUE,"F",
IF(OR(IF(K143="",IF(J143="",IF(I143="","",I143),J143),K143)="PE", IF(N143="",IF(M143="",IF(L143="","",L143), M143),N143)="PE")=TRUE,"PE",
IF(AND(IF(K143="",IF(J143="",IF(I143="","",I143),J143),K143)="", IF(N143="",IF(M143="",IF(L143="","",L143), M143),N143)="")=TRUE,"","P")))</f>
        <v/>
      </c>
      <c r="P143" s="176" t="n"/>
      <c r="Q143" s="176" t="n"/>
    </row>
    <row r="144" customFormat="1" s="99">
      <c r="A144" s="176" t="n"/>
      <c r="C144" s="98" t="n"/>
      <c r="D144" s="98" t="n"/>
      <c r="E144" s="106" t="n"/>
      <c r="F144" s="176" t="n"/>
      <c r="G144" s="108" t="n"/>
      <c r="H144" s="176" t="n"/>
      <c r="I144" s="109" t="n"/>
      <c r="J144" s="109" t="n"/>
      <c r="K144" s="109" t="n"/>
      <c r="L144" s="109" t="n"/>
      <c r="M144" s="109" t="n"/>
      <c r="N144" s="109" t="n"/>
      <c r="O144" s="109">
        <f>IF(OR(IF(K144="",IF(J144="",IF(I144="","",I144),J144),K144)="F", IF(N144="",IF(M144="",IF(L144="","",L144), M144),N144)="F")=TRUE,"F",
IF(OR(IF(K144="",IF(J144="",IF(I144="","",I144),J144),K144)="PE", IF(N144="",IF(M144="",IF(L144="","",L144), M144),N144)="PE")=TRUE,"PE",
IF(AND(IF(K144="",IF(J144="",IF(I144="","",I144),J144),K144)="", IF(N144="",IF(M144="",IF(L144="","",L144), M144),N144)="")=TRUE,"","P")))</f>
        <v/>
      </c>
      <c r="P144" s="176" t="n"/>
      <c r="Q144" s="176" t="n"/>
    </row>
    <row r="145" customFormat="1" s="99">
      <c r="A145" s="176" t="n"/>
      <c r="C145" s="98" t="n"/>
      <c r="D145" s="98" t="n"/>
      <c r="E145" s="106" t="n"/>
      <c r="F145" s="176" t="n"/>
      <c r="G145" s="108" t="n"/>
      <c r="H145" s="176" t="n"/>
      <c r="I145" s="109" t="n"/>
      <c r="J145" s="109" t="n"/>
      <c r="K145" s="109" t="n"/>
      <c r="L145" s="109" t="n"/>
      <c r="M145" s="109" t="n"/>
      <c r="N145" s="109" t="n"/>
      <c r="O145" s="109">
        <f>IF(OR(IF(K145="",IF(J145="",IF(I145="","",I145),J145),K145)="F", IF(N145="",IF(M145="",IF(L145="","",L145), M145),N145)="F")=TRUE,"F",
IF(OR(IF(K145="",IF(J145="",IF(I145="","",I145),J145),K145)="PE", IF(N145="",IF(M145="",IF(L145="","",L145), M145),N145)="PE")=TRUE,"PE",
IF(AND(IF(K145="",IF(J145="",IF(I145="","",I145),J145),K145)="", IF(N145="",IF(M145="",IF(L145="","",L145), M145),N145)="")=TRUE,"","P")))</f>
        <v/>
      </c>
      <c r="P145" s="176" t="n"/>
      <c r="Q145" s="176" t="n"/>
    </row>
    <row r="146" customFormat="1" s="99">
      <c r="A146" s="176" t="n"/>
      <c r="C146" s="98" t="n"/>
      <c r="D146" s="98" t="n"/>
      <c r="E146" s="106" t="n"/>
      <c r="F146" s="176" t="n"/>
      <c r="G146" s="108" t="n"/>
      <c r="H146" s="176" t="n"/>
      <c r="I146" s="109" t="n"/>
      <c r="J146" s="109" t="n"/>
      <c r="K146" s="109" t="n"/>
      <c r="L146" s="109" t="n"/>
      <c r="M146" s="109" t="n"/>
      <c r="N146" s="109" t="n"/>
      <c r="O146" s="109">
        <f>IF(OR(IF(K146="",IF(J146="",IF(I146="","",I146),J146),K146)="F", IF(N146="",IF(M146="",IF(L146="","",L146), M146),N146)="F")=TRUE,"F",
IF(OR(IF(K146="",IF(J146="",IF(I146="","",I146),J146),K146)="PE", IF(N146="",IF(M146="",IF(L146="","",L146), M146),N146)="PE")=TRUE,"PE",
IF(AND(IF(K146="",IF(J146="",IF(I146="","",I146),J146),K146)="", IF(N146="",IF(M146="",IF(L146="","",L146), M146),N146)="")=TRUE,"","P")))</f>
        <v/>
      </c>
      <c r="P146" s="176" t="n"/>
      <c r="Q146" s="176" t="n"/>
    </row>
    <row r="147" customFormat="1" s="99">
      <c r="A147" s="176" t="n"/>
      <c r="C147" s="98" t="n"/>
      <c r="D147" s="98" t="n"/>
      <c r="E147" s="106" t="n"/>
      <c r="F147" s="176" t="n"/>
      <c r="G147" s="108" t="n"/>
      <c r="H147" s="176" t="n"/>
      <c r="I147" s="109" t="n"/>
      <c r="J147" s="109" t="n"/>
      <c r="K147" s="109" t="n"/>
      <c r="L147" s="109" t="n"/>
      <c r="M147" s="109" t="n"/>
      <c r="N147" s="109" t="n"/>
      <c r="O147" s="109">
        <f>IF(OR(IF(K147="",IF(J147="",IF(I147="","",I147),J147),K147)="F", IF(N147="",IF(M147="",IF(L147="","",L147), M147),N147)="F")=TRUE,"F",
IF(OR(IF(K147="",IF(J147="",IF(I147="","",I147),J147),K147)="PE", IF(N147="",IF(M147="",IF(L147="","",L147), M147),N147)="PE")=TRUE,"PE",
IF(AND(IF(K147="",IF(J147="",IF(I147="","",I147),J147),K147)="", IF(N147="",IF(M147="",IF(L147="","",L147), M147),N147)="")=TRUE,"","P")))</f>
        <v/>
      </c>
      <c r="P147" s="176" t="n"/>
      <c r="Q147" s="176" t="n"/>
    </row>
    <row r="148" customFormat="1" s="99">
      <c r="A148" s="176" t="n"/>
      <c r="C148" s="98" t="n"/>
      <c r="D148" s="98" t="n"/>
      <c r="E148" s="106" t="n"/>
      <c r="F148" s="176" t="n"/>
      <c r="G148" s="108" t="n"/>
      <c r="H148" s="176" t="n"/>
      <c r="I148" s="109" t="n"/>
      <c r="J148" s="109" t="n"/>
      <c r="K148" s="109" t="n"/>
      <c r="L148" s="109" t="n"/>
      <c r="M148" s="109" t="n"/>
      <c r="N148" s="109" t="n"/>
      <c r="O148" s="109">
        <f>IF(OR(IF(K148="",IF(J148="",IF(I148="","",I148),J148),K148)="F", IF(N148="",IF(M148="",IF(L148="","",L148), M148),N148)="F")=TRUE,"F",
IF(OR(IF(K148="",IF(J148="",IF(I148="","",I148),J148),K148)="PE", IF(N148="",IF(M148="",IF(L148="","",L148), M148),N148)="PE")=TRUE,"PE",
IF(AND(IF(K148="",IF(J148="",IF(I148="","",I148),J148),K148)="", IF(N148="",IF(M148="",IF(L148="","",L148), M148),N148)="")=TRUE,"","P")))</f>
        <v/>
      </c>
      <c r="P148" s="176" t="n"/>
      <c r="Q148" s="176" t="n"/>
    </row>
    <row r="149" customFormat="1" s="99">
      <c r="A149" s="176" t="n"/>
      <c r="C149" s="98" t="n"/>
      <c r="D149" s="98" t="n"/>
      <c r="E149" s="106" t="n"/>
      <c r="F149" s="176" t="n"/>
      <c r="G149" s="108" t="n"/>
      <c r="H149" s="176" t="n"/>
      <c r="I149" s="109" t="n"/>
      <c r="J149" s="109" t="n"/>
      <c r="K149" s="109" t="n"/>
      <c r="L149" s="109" t="n"/>
      <c r="M149" s="109" t="n"/>
      <c r="N149" s="109" t="n"/>
      <c r="O149" s="109">
        <f>IF(OR(IF(K149="",IF(J149="",IF(I149="","",I149),J149),K149)="F", IF(N149="",IF(M149="",IF(L149="","",L149), M149),N149)="F")=TRUE,"F",
IF(OR(IF(K149="",IF(J149="",IF(I149="","",I149),J149),K149)="PE", IF(N149="",IF(M149="",IF(L149="","",L149), M149),N149)="PE")=TRUE,"PE",
IF(AND(IF(K149="",IF(J149="",IF(I149="","",I149),J149),K149)="", IF(N149="",IF(M149="",IF(L149="","",L149), M149),N149)="")=TRUE,"","P")))</f>
        <v/>
      </c>
      <c r="P149" s="176" t="n"/>
      <c r="Q149" s="176" t="n"/>
    </row>
    <row r="150" customFormat="1" s="99">
      <c r="A150" s="176" t="n"/>
      <c r="C150" s="98" t="n"/>
      <c r="D150" s="98" t="n"/>
      <c r="E150" s="106" t="n"/>
      <c r="F150" s="176" t="n"/>
      <c r="G150" s="108" t="n"/>
      <c r="H150" s="176" t="n"/>
      <c r="I150" s="109" t="n"/>
      <c r="J150" s="109" t="n"/>
      <c r="K150" s="109" t="n"/>
      <c r="L150" s="109" t="n"/>
      <c r="M150" s="109" t="n"/>
      <c r="N150" s="109" t="n"/>
      <c r="O150" s="109">
        <f>IF(OR(IF(K150="",IF(J150="",IF(I150="","",I150),J150),K150)="F", IF(N150="",IF(M150="",IF(L150="","",L150), M150),N150)="F")=TRUE,"F",
IF(OR(IF(K150="",IF(J150="",IF(I150="","",I150),J150),K150)="PE", IF(N150="",IF(M150="",IF(L150="","",L150), M150),N150)="PE")=TRUE,"PE",
IF(AND(IF(K150="",IF(J150="",IF(I150="","",I150),J150),K150)="", IF(N150="",IF(M150="",IF(L150="","",L150), M150),N150)="")=TRUE,"","P")))</f>
        <v/>
      </c>
      <c r="P150" s="176" t="n"/>
      <c r="Q150" s="176" t="n"/>
    </row>
    <row r="151" customFormat="1" s="99">
      <c r="A151" s="176" t="n"/>
      <c r="C151" s="98" t="n"/>
      <c r="D151" s="98" t="n"/>
      <c r="E151" s="106" t="n"/>
      <c r="F151" s="176" t="n"/>
      <c r="G151" s="108" t="n"/>
      <c r="H151" s="176" t="n"/>
      <c r="I151" s="109" t="n"/>
      <c r="J151" s="109" t="n"/>
      <c r="K151" s="109" t="n"/>
      <c r="L151" s="109" t="n"/>
      <c r="M151" s="109" t="n"/>
      <c r="N151" s="109" t="n"/>
      <c r="O151" s="109">
        <f>IF(OR(IF(K151="",IF(J151="",IF(I151="","",I151),J151),K151)="F", IF(N151="",IF(M151="",IF(L151="","",L151), M151),N151)="F")=TRUE,"F",
IF(OR(IF(K151="",IF(J151="",IF(I151="","",I151),J151),K151)="PE", IF(N151="",IF(M151="",IF(L151="","",L151), M151),N151)="PE")=TRUE,"PE",
IF(AND(IF(K151="",IF(J151="",IF(I151="","",I151),J151),K151)="", IF(N151="",IF(M151="",IF(L151="","",L151), M151),N151)="")=TRUE,"","P")))</f>
        <v/>
      </c>
      <c r="P151" s="176" t="n"/>
      <c r="Q151" s="176" t="n"/>
    </row>
    <row r="152" customFormat="1" s="99">
      <c r="A152" s="176" t="n"/>
      <c r="C152" s="98" t="n"/>
      <c r="D152" s="98" t="n"/>
      <c r="E152" s="106" t="n"/>
      <c r="F152" s="176" t="n"/>
      <c r="G152" s="108" t="n"/>
      <c r="H152" s="176" t="n"/>
      <c r="I152" s="109" t="n"/>
      <c r="J152" s="109" t="n"/>
      <c r="K152" s="109" t="n"/>
      <c r="L152" s="109" t="n"/>
      <c r="M152" s="109" t="n"/>
      <c r="N152" s="109" t="n"/>
      <c r="O152" s="109">
        <f>IF(OR(IF(K152="",IF(J152="",IF(I152="","",I152),J152),K152)="F", IF(N152="",IF(M152="",IF(L152="","",L152), M152),N152)="F")=TRUE,"F",
IF(OR(IF(K152="",IF(J152="",IF(I152="","",I152),J152),K152)="PE", IF(N152="",IF(M152="",IF(L152="","",L152), M152),N152)="PE")=TRUE,"PE",
IF(AND(IF(K152="",IF(J152="",IF(I152="","",I152),J152),K152)="", IF(N152="",IF(M152="",IF(L152="","",L152), M152),N152)="")=TRUE,"","P")))</f>
        <v/>
      </c>
      <c r="P152" s="176" t="n"/>
      <c r="Q152" s="176" t="n"/>
    </row>
    <row r="153" customFormat="1" s="99">
      <c r="A153" s="176" t="n"/>
      <c r="C153" s="98" t="n"/>
      <c r="D153" s="98" t="n"/>
      <c r="E153" s="106" t="n"/>
      <c r="F153" s="176" t="n"/>
      <c r="G153" s="108" t="n"/>
      <c r="H153" s="176" t="n"/>
      <c r="I153" s="109" t="n"/>
      <c r="J153" s="109" t="n"/>
      <c r="K153" s="109" t="n"/>
      <c r="L153" s="109" t="n"/>
      <c r="M153" s="109" t="n"/>
      <c r="N153" s="109" t="n"/>
      <c r="O153" s="109">
        <f>IF(OR(IF(K153="",IF(J153="",IF(I153="","",I153),J153),K153)="F", IF(N153="",IF(M153="",IF(L153="","",L153), M153),N153)="F")=TRUE,"F",
IF(OR(IF(K153="",IF(J153="",IF(I153="","",I153),J153),K153)="PE", IF(N153="",IF(M153="",IF(L153="","",L153), M153),N153)="PE")=TRUE,"PE",
IF(AND(IF(K153="",IF(J153="",IF(I153="","",I153),J153),K153)="", IF(N153="",IF(M153="",IF(L153="","",L153), M153),N153)="")=TRUE,"","P")))</f>
        <v/>
      </c>
      <c r="P153" s="176" t="n"/>
      <c r="Q153" s="176" t="n"/>
    </row>
    <row r="154" customFormat="1" s="99">
      <c r="A154" s="176" t="n"/>
      <c r="C154" s="98" t="n"/>
      <c r="D154" s="98" t="n"/>
      <c r="E154" s="106" t="n"/>
      <c r="F154" s="176" t="n"/>
      <c r="G154" s="108" t="n"/>
      <c r="H154" s="176" t="n"/>
      <c r="I154" s="109" t="n"/>
      <c r="J154" s="109" t="n"/>
      <c r="K154" s="109" t="n"/>
      <c r="L154" s="109" t="n"/>
      <c r="M154" s="109" t="n"/>
      <c r="N154" s="109" t="n"/>
      <c r="O154" s="109">
        <f>IF(OR(IF(K154="",IF(J154="",IF(I154="","",I154),J154),K154)="F", IF(N154="",IF(M154="",IF(L154="","",L154), M154),N154)="F")=TRUE,"F",
IF(OR(IF(K154="",IF(J154="",IF(I154="","",I154),J154),K154)="PE", IF(N154="",IF(M154="",IF(L154="","",L154), M154),N154)="PE")=TRUE,"PE",
IF(AND(IF(K154="",IF(J154="",IF(I154="","",I154),J154),K154)="", IF(N154="",IF(M154="",IF(L154="","",L154), M154),N154)="")=TRUE,"","P")))</f>
        <v/>
      </c>
      <c r="P154" s="176" t="n"/>
      <c r="Q154" s="176" t="n"/>
    </row>
    <row r="155" customFormat="1" s="99">
      <c r="A155" s="176" t="n"/>
      <c r="C155" s="98" t="n"/>
      <c r="D155" s="98" t="n"/>
      <c r="E155" s="106" t="n"/>
      <c r="F155" s="176" t="n"/>
      <c r="G155" s="108" t="n"/>
      <c r="H155" s="176" t="n"/>
      <c r="I155" s="109" t="n"/>
      <c r="J155" s="109" t="n"/>
      <c r="K155" s="109" t="n"/>
      <c r="L155" s="109" t="n"/>
      <c r="M155" s="109" t="n"/>
      <c r="N155" s="109" t="n"/>
      <c r="O155" s="109">
        <f>IF(OR(IF(K155="",IF(J155="",IF(I155="","",I155),J155),K155)="F", IF(N155="",IF(M155="",IF(L155="","",L155), M155),N155)="F")=TRUE,"F",
IF(OR(IF(K155="",IF(J155="",IF(I155="","",I155),J155),K155)="PE", IF(N155="",IF(M155="",IF(L155="","",L155), M155),N155)="PE")=TRUE,"PE",
IF(AND(IF(K155="",IF(J155="",IF(I155="","",I155),J155),K155)="", IF(N155="",IF(M155="",IF(L155="","",L155), M155),N155)="")=TRUE,"","P")))</f>
        <v/>
      </c>
      <c r="P155" s="176" t="n"/>
      <c r="Q155" s="176" t="n"/>
    </row>
    <row r="156" customFormat="1" s="99">
      <c r="A156" s="176" t="n"/>
      <c r="C156" s="98" t="n"/>
      <c r="D156" s="98" t="n"/>
      <c r="E156" s="106" t="n"/>
      <c r="F156" s="176" t="n"/>
      <c r="G156" s="108" t="n"/>
      <c r="H156" s="176" t="n"/>
      <c r="I156" s="109" t="n"/>
      <c r="J156" s="109" t="n"/>
      <c r="K156" s="109" t="n"/>
      <c r="L156" s="109" t="n"/>
      <c r="M156" s="109" t="n"/>
      <c r="N156" s="109" t="n"/>
      <c r="O156" s="109">
        <f>IF(OR(IF(K156="",IF(J156="",IF(I156="","",I156),J156),K156)="F", IF(N156="",IF(M156="",IF(L156="","",L156), M156),N156)="F")=TRUE,"F",
IF(OR(IF(K156="",IF(J156="",IF(I156="","",I156),J156),K156)="PE", IF(N156="",IF(M156="",IF(L156="","",L156), M156),N156)="PE")=TRUE,"PE",
IF(AND(IF(K156="",IF(J156="",IF(I156="","",I156),J156),K156)="", IF(N156="",IF(M156="",IF(L156="","",L156), M156),N156)="")=TRUE,"","P")))</f>
        <v/>
      </c>
      <c r="P156" s="176" t="n"/>
      <c r="Q156" s="176" t="n"/>
    </row>
    <row r="157" customFormat="1" s="99">
      <c r="A157" s="176" t="n"/>
      <c r="C157" s="98" t="n"/>
      <c r="D157" s="98" t="n"/>
      <c r="E157" s="106" t="n"/>
      <c r="F157" s="176" t="n"/>
      <c r="G157" s="108" t="n"/>
      <c r="H157" s="176" t="n"/>
      <c r="I157" s="109" t="n"/>
      <c r="J157" s="109" t="n"/>
      <c r="K157" s="109" t="n"/>
      <c r="L157" s="109" t="n"/>
      <c r="M157" s="109" t="n"/>
      <c r="N157" s="109" t="n"/>
      <c r="O157" s="109">
        <f>IF(OR(IF(K157="",IF(J157="",IF(I157="","",I157),J157),K157)="F", IF(N157="",IF(M157="",IF(L157="","",L157), M157),N157)="F")=TRUE,"F",
IF(OR(IF(K157="",IF(J157="",IF(I157="","",I157),J157),K157)="PE", IF(N157="",IF(M157="",IF(L157="","",L157), M157),N157)="PE")=TRUE,"PE",
IF(AND(IF(K157="",IF(J157="",IF(I157="","",I157),J157),K157)="", IF(N157="",IF(M157="",IF(L157="","",L157), M157),N157)="")=TRUE,"","P")))</f>
        <v/>
      </c>
      <c r="P157" s="176" t="n"/>
      <c r="Q157" s="176" t="n"/>
    </row>
    <row r="158" customFormat="1" s="99">
      <c r="A158" s="176" t="n"/>
      <c r="C158" s="98" t="n"/>
      <c r="D158" s="98" t="n"/>
      <c r="E158" s="106" t="n"/>
      <c r="F158" s="176" t="n"/>
      <c r="G158" s="108" t="n"/>
      <c r="H158" s="176" t="n"/>
      <c r="I158" s="109" t="n"/>
      <c r="J158" s="109" t="n"/>
      <c r="K158" s="109" t="n"/>
      <c r="L158" s="109" t="n"/>
      <c r="M158" s="109" t="n"/>
      <c r="N158" s="109" t="n"/>
      <c r="O158" s="109">
        <f>IF(OR(IF(K158="",IF(J158="",IF(I158="","",I158),J158),K158)="F", IF(N158="",IF(M158="",IF(L158="","",L158), M158),N158)="F")=TRUE,"F",
IF(OR(IF(K158="",IF(J158="",IF(I158="","",I158),J158),K158)="PE", IF(N158="",IF(M158="",IF(L158="","",L158), M158),N158)="PE")=TRUE,"PE",
IF(AND(IF(K158="",IF(J158="",IF(I158="","",I158),J158),K158)="", IF(N158="",IF(M158="",IF(L158="","",L158), M158),N158)="")=TRUE,"","P")))</f>
        <v/>
      </c>
      <c r="P158" s="176" t="n"/>
      <c r="Q158" s="176" t="n"/>
    </row>
    <row r="159" customFormat="1" s="99">
      <c r="A159" s="176" t="n"/>
      <c r="C159" s="98" t="n"/>
      <c r="D159" s="98" t="n"/>
      <c r="E159" s="106" t="n"/>
      <c r="F159" s="176" t="n"/>
      <c r="G159" s="108" t="n"/>
      <c r="H159" s="176" t="n"/>
      <c r="I159" s="109" t="n"/>
      <c r="J159" s="109" t="n"/>
      <c r="K159" s="109" t="n"/>
      <c r="L159" s="109" t="n"/>
      <c r="M159" s="109" t="n"/>
      <c r="N159" s="109" t="n"/>
      <c r="O159" s="109">
        <f>IF(OR(IF(K159="",IF(J159="",IF(I159="","",I159),J159),K159)="F", IF(N159="",IF(M159="",IF(L159="","",L159), M159),N159)="F")=TRUE,"F",
IF(OR(IF(K159="",IF(J159="",IF(I159="","",I159),J159),K159)="PE", IF(N159="",IF(M159="",IF(L159="","",L159), M159),N159)="PE")=TRUE,"PE",
IF(AND(IF(K159="",IF(J159="",IF(I159="","",I159),J159),K159)="", IF(N159="",IF(M159="",IF(L159="","",L159), M159),N159)="")=TRUE,"","P")))</f>
        <v/>
      </c>
      <c r="P159" s="176" t="n"/>
      <c r="Q159" s="176" t="n"/>
    </row>
    <row r="160" customFormat="1" s="99">
      <c r="A160" s="176" t="n"/>
      <c r="C160" s="98" t="n"/>
      <c r="D160" s="98" t="n"/>
      <c r="E160" s="106" t="n"/>
      <c r="F160" s="176" t="n"/>
      <c r="G160" s="108" t="n"/>
      <c r="H160" s="176" t="n"/>
      <c r="I160" s="109" t="n"/>
      <c r="J160" s="109" t="n"/>
      <c r="K160" s="109" t="n"/>
      <c r="L160" s="109" t="n"/>
      <c r="M160" s="109" t="n"/>
      <c r="N160" s="109" t="n"/>
      <c r="O160" s="109">
        <f>IF(OR(IF(K160="",IF(J160="",IF(I160="","",I160),J160),K160)="F", IF(N160="",IF(M160="",IF(L160="","",L160), M160),N160)="F")=TRUE,"F",
IF(OR(IF(K160="",IF(J160="",IF(I160="","",I160),J160),K160)="PE", IF(N160="",IF(M160="",IF(L160="","",L160), M160),N160)="PE")=TRUE,"PE",
IF(AND(IF(K160="",IF(J160="",IF(I160="","",I160),J160),K160)="", IF(N160="",IF(M160="",IF(L160="","",L160), M160),N160)="")=TRUE,"","P")))</f>
        <v/>
      </c>
      <c r="P160" s="176" t="n"/>
      <c r="Q160" s="176" t="n"/>
    </row>
    <row r="161" customFormat="1" s="99">
      <c r="A161" s="176" t="n"/>
      <c r="C161" s="98" t="n"/>
      <c r="D161" s="98" t="n"/>
      <c r="E161" s="106" t="n"/>
      <c r="F161" s="176" t="n"/>
      <c r="G161" s="108" t="n"/>
      <c r="H161" s="176" t="n"/>
      <c r="I161" s="109" t="n"/>
      <c r="J161" s="109" t="n"/>
      <c r="K161" s="109" t="n"/>
      <c r="L161" s="109" t="n"/>
      <c r="M161" s="109" t="n"/>
      <c r="N161" s="109" t="n"/>
      <c r="O161" s="109">
        <f>IF(OR(IF(K161="",IF(J161="",IF(I161="","",I161),J161),K161)="F", IF(N161="",IF(M161="",IF(L161="","",L161), M161),N161)="F")=TRUE,"F",
IF(OR(IF(K161="",IF(J161="",IF(I161="","",I161),J161),K161)="PE", IF(N161="",IF(M161="",IF(L161="","",L161), M161),N161)="PE")=TRUE,"PE",
IF(AND(IF(K161="",IF(J161="",IF(I161="","",I161),J161),K161)="", IF(N161="",IF(M161="",IF(L161="","",L161), M161),N161)="")=TRUE,"","P")))</f>
        <v/>
      </c>
      <c r="P161" s="176" t="n"/>
      <c r="Q161" s="176" t="n"/>
    </row>
    <row r="162" customFormat="1" s="99">
      <c r="A162" s="176" t="n"/>
      <c r="C162" s="98" t="n"/>
      <c r="D162" s="98" t="n"/>
      <c r="E162" s="106" t="n"/>
      <c r="F162" s="176" t="n"/>
      <c r="G162" s="108" t="n"/>
      <c r="H162" s="176" t="n"/>
      <c r="I162" s="109" t="n"/>
      <c r="J162" s="109" t="n"/>
      <c r="K162" s="109" t="n"/>
      <c r="L162" s="109" t="n"/>
      <c r="M162" s="109" t="n"/>
      <c r="N162" s="109" t="n"/>
      <c r="O162" s="109">
        <f>IF(OR(IF(K162="",IF(J162="",IF(I162="","",I162),J162),K162)="F", IF(N162="",IF(M162="",IF(L162="","",L162), M162),N162)="F")=TRUE,"F",
IF(OR(IF(K162="",IF(J162="",IF(I162="","",I162),J162),K162)="PE", IF(N162="",IF(M162="",IF(L162="","",L162), M162),N162)="PE")=TRUE,"PE",
IF(AND(IF(K162="",IF(J162="",IF(I162="","",I162),J162),K162)="", IF(N162="",IF(M162="",IF(L162="","",L162), M162),N162)="")=TRUE,"","P")))</f>
        <v/>
      </c>
      <c r="P162" s="176" t="n"/>
      <c r="Q162" s="176" t="n"/>
    </row>
    <row r="163" customFormat="1" s="99">
      <c r="A163" s="176" t="n"/>
      <c r="C163" s="98" t="n"/>
      <c r="D163" s="98" t="n"/>
      <c r="E163" s="106" t="n"/>
      <c r="F163" s="176" t="n"/>
      <c r="G163" s="108" t="n"/>
      <c r="H163" s="176" t="n"/>
      <c r="I163" s="109" t="n"/>
      <c r="J163" s="109" t="n"/>
      <c r="K163" s="109" t="n"/>
      <c r="L163" s="109" t="n"/>
      <c r="M163" s="109" t="n"/>
      <c r="N163" s="109" t="n"/>
      <c r="O163" s="109">
        <f>IF(OR(IF(K163="",IF(J163="",IF(I163="","",I163),J163),K163)="F", IF(N163="",IF(M163="",IF(L163="","",L163), M163),N163)="F")=TRUE,"F",
IF(OR(IF(K163="",IF(J163="",IF(I163="","",I163),J163),K163)="PE", IF(N163="",IF(M163="",IF(L163="","",L163), M163),N163)="PE")=TRUE,"PE",
IF(AND(IF(K163="",IF(J163="",IF(I163="","",I163),J163),K163)="", IF(N163="",IF(M163="",IF(L163="","",L163), M163),N163)="")=TRUE,"","P")))</f>
        <v/>
      </c>
      <c r="P163" s="176" t="n"/>
      <c r="Q163" s="176" t="n"/>
    </row>
    <row r="164" customFormat="1" s="99">
      <c r="A164" s="176" t="n"/>
      <c r="C164" s="98" t="n"/>
      <c r="D164" s="98" t="n"/>
      <c r="E164" s="106" t="n"/>
      <c r="F164" s="176" t="n"/>
      <c r="G164" s="108" t="n"/>
      <c r="H164" s="176" t="n"/>
      <c r="I164" s="109" t="n"/>
      <c r="J164" s="109" t="n"/>
      <c r="K164" s="109" t="n"/>
      <c r="L164" s="109" t="n"/>
      <c r="M164" s="109" t="n"/>
      <c r="N164" s="109" t="n"/>
      <c r="O164" s="109">
        <f>IF(OR(IF(K164="",IF(J164="",IF(I164="","",I164),J164),K164)="F", IF(N164="",IF(M164="",IF(L164="","",L164), M164),N164)="F")=TRUE,"F",
IF(OR(IF(K164="",IF(J164="",IF(I164="","",I164),J164),K164)="PE", IF(N164="",IF(M164="",IF(L164="","",L164), M164),N164)="PE")=TRUE,"PE",
IF(AND(IF(K164="",IF(J164="",IF(I164="","",I164),J164),K164)="", IF(N164="",IF(M164="",IF(L164="","",L164), M164),N164)="")=TRUE,"","P")))</f>
        <v/>
      </c>
      <c r="P164" s="176" t="n"/>
      <c r="Q164" s="176" t="n"/>
    </row>
    <row r="165" customFormat="1" s="99">
      <c r="A165" s="176" t="n"/>
      <c r="C165" s="98" t="n"/>
      <c r="D165" s="98" t="n"/>
      <c r="E165" s="106" t="n"/>
      <c r="F165" s="176" t="n"/>
      <c r="G165" s="108" t="n"/>
      <c r="H165" s="176" t="n"/>
      <c r="I165" s="109" t="n"/>
      <c r="J165" s="109" t="n"/>
      <c r="K165" s="109" t="n"/>
      <c r="L165" s="109" t="n"/>
      <c r="M165" s="109" t="n"/>
      <c r="N165" s="109" t="n"/>
      <c r="O165" s="109">
        <f>IF(OR(IF(K165="",IF(J165="",IF(I165="","",I165),J165),K165)="F", IF(N165="",IF(M165="",IF(L165="","",L165), M165),N165)="F")=TRUE,"F",
IF(OR(IF(K165="",IF(J165="",IF(I165="","",I165),J165),K165)="PE", IF(N165="",IF(M165="",IF(L165="","",L165), M165),N165)="PE")=TRUE,"PE",
IF(AND(IF(K165="",IF(J165="",IF(I165="","",I165),J165),K165)="", IF(N165="",IF(M165="",IF(L165="","",L165), M165),N165)="")=TRUE,"","P")))</f>
        <v/>
      </c>
      <c r="P165" s="176" t="n"/>
      <c r="Q165" s="176" t="n"/>
    </row>
    <row r="166" customFormat="1" s="99">
      <c r="A166" s="176" t="n"/>
      <c r="C166" s="98" t="n"/>
      <c r="D166" s="98" t="n"/>
      <c r="E166" s="106" t="n"/>
      <c r="F166" s="176" t="n"/>
      <c r="G166" s="108" t="n"/>
      <c r="H166" s="176" t="n"/>
      <c r="I166" s="109" t="n"/>
      <c r="J166" s="109" t="n"/>
      <c r="K166" s="109" t="n"/>
      <c r="L166" s="109" t="n"/>
      <c r="M166" s="109" t="n"/>
      <c r="N166" s="109" t="n"/>
      <c r="O166" s="109">
        <f>IF(OR(IF(K166="",IF(J166="",IF(I166="","",I166),J166),K166)="F", IF(N166="",IF(M166="",IF(L166="","",L166), M166),N166)="F")=TRUE,"F",
IF(OR(IF(K166="",IF(J166="",IF(I166="","",I166),J166),K166)="PE", IF(N166="",IF(M166="",IF(L166="","",L166), M166),N166)="PE")=TRUE,"PE",
IF(AND(IF(K166="",IF(J166="",IF(I166="","",I166),J166),K166)="", IF(N166="",IF(M166="",IF(L166="","",L166), M166),N166)="")=TRUE,"","P")))</f>
        <v/>
      </c>
      <c r="P166" s="176" t="n"/>
      <c r="Q166" s="176" t="n"/>
    </row>
    <row r="167" customFormat="1" s="99">
      <c r="A167" s="176" t="n"/>
      <c r="C167" s="98" t="n"/>
      <c r="D167" s="98" t="n"/>
      <c r="E167" s="106" t="n"/>
      <c r="F167" s="176" t="n"/>
      <c r="G167" s="108" t="n"/>
      <c r="H167" s="176" t="n"/>
      <c r="I167" s="109" t="n"/>
      <c r="J167" s="109" t="n"/>
      <c r="K167" s="109" t="n"/>
      <c r="L167" s="109" t="n"/>
      <c r="M167" s="109" t="n"/>
      <c r="N167" s="109" t="n"/>
      <c r="O167" s="109">
        <f>IF(OR(IF(K167="",IF(J167="",IF(I167="","",I167),J167),K167)="F", IF(N167="",IF(M167="",IF(L167="","",L167), M167),N167)="F")=TRUE,"F",
IF(OR(IF(K167="",IF(J167="",IF(I167="","",I167),J167),K167)="PE", IF(N167="",IF(M167="",IF(L167="","",L167), M167),N167)="PE")=TRUE,"PE",
IF(AND(IF(K167="",IF(J167="",IF(I167="","",I167),J167),K167)="", IF(N167="",IF(M167="",IF(L167="","",L167), M167),N167)="")=TRUE,"","P")))</f>
        <v/>
      </c>
      <c r="P167" s="176" t="n"/>
      <c r="Q167" s="176" t="n"/>
    </row>
    <row r="168" customFormat="1" s="99">
      <c r="A168" s="176" t="n"/>
      <c r="C168" s="98" t="n"/>
      <c r="D168" s="98" t="n"/>
      <c r="E168" s="106" t="n"/>
      <c r="F168" s="176" t="n"/>
      <c r="G168" s="108" t="n"/>
      <c r="H168" s="176" t="n"/>
      <c r="I168" s="109" t="n"/>
      <c r="J168" s="109" t="n"/>
      <c r="K168" s="109" t="n"/>
      <c r="L168" s="109" t="n"/>
      <c r="M168" s="109" t="n"/>
      <c r="N168" s="109" t="n"/>
      <c r="O168" s="109">
        <f>IF(OR(IF(K168="",IF(J168="",IF(I168="","",I168),J168),K168)="F", IF(N168="",IF(M168="",IF(L168="","",L168), M168),N168)="F")=TRUE,"F",
IF(OR(IF(K168="",IF(J168="",IF(I168="","",I168),J168),K168)="PE", IF(N168="",IF(M168="",IF(L168="","",L168), M168),N168)="PE")=TRUE,"PE",
IF(AND(IF(K168="",IF(J168="",IF(I168="","",I168),J168),K168)="", IF(N168="",IF(M168="",IF(L168="","",L168), M168),N168)="")=TRUE,"","P")))</f>
        <v/>
      </c>
      <c r="P168" s="176" t="n"/>
      <c r="Q168" s="176" t="n"/>
    </row>
    <row r="169" customFormat="1" s="99">
      <c r="A169" s="176" t="n"/>
      <c r="C169" s="98" t="n"/>
      <c r="D169" s="98" t="n"/>
      <c r="E169" s="106" t="n"/>
      <c r="F169" s="176" t="n"/>
      <c r="G169" s="108" t="n"/>
      <c r="H169" s="176" t="n"/>
      <c r="I169" s="109" t="n"/>
      <c r="J169" s="109" t="n"/>
      <c r="K169" s="109" t="n"/>
      <c r="L169" s="109" t="n"/>
      <c r="M169" s="109" t="n"/>
      <c r="N169" s="109" t="n"/>
      <c r="O169" s="109">
        <f>IF(OR(IF(K169="",IF(J169="",IF(I169="","",I169),J169),K169)="F", IF(N169="",IF(M169="",IF(L169="","",L169), M169),N169)="F")=TRUE,"F",
IF(OR(IF(K169="",IF(J169="",IF(I169="","",I169),J169),K169)="PE", IF(N169="",IF(M169="",IF(L169="","",L169), M169),N169)="PE")=TRUE,"PE",
IF(AND(IF(K169="",IF(J169="",IF(I169="","",I169),J169),K169)="", IF(N169="",IF(M169="",IF(L169="","",L169), M169),N169)="")=TRUE,"","P")))</f>
        <v/>
      </c>
      <c r="P169" s="176" t="n"/>
      <c r="Q169" s="176" t="n"/>
    </row>
    <row r="170" customFormat="1" s="99">
      <c r="A170" s="176" t="n"/>
      <c r="C170" s="98" t="n"/>
      <c r="D170" s="98" t="n"/>
      <c r="E170" s="106" t="n"/>
      <c r="F170" s="176" t="n"/>
      <c r="G170" s="108" t="n"/>
      <c r="H170" s="176" t="n"/>
      <c r="I170" s="109" t="n"/>
      <c r="J170" s="109" t="n"/>
      <c r="K170" s="109" t="n"/>
      <c r="L170" s="109" t="n"/>
      <c r="M170" s="109" t="n"/>
      <c r="N170" s="109" t="n"/>
      <c r="O170" s="109">
        <f>IF(OR(IF(K170="",IF(J170="",IF(I170="","",I170),J170),K170)="F", IF(N170="",IF(M170="",IF(L170="","",L170), M170),N170)="F")=TRUE,"F",
IF(OR(IF(K170="",IF(J170="",IF(I170="","",I170),J170),K170)="PE", IF(N170="",IF(M170="",IF(L170="","",L170), M170),N170)="PE")=TRUE,"PE",
IF(AND(IF(K170="",IF(J170="",IF(I170="","",I170),J170),K170)="", IF(N170="",IF(M170="",IF(L170="","",L170), M170),N170)="")=TRUE,"","P")))</f>
        <v/>
      </c>
      <c r="P170" s="176" t="n"/>
      <c r="Q170" s="176" t="n"/>
    </row>
    <row r="171" customFormat="1" s="99">
      <c r="A171" s="176" t="n"/>
      <c r="C171" s="98" t="n"/>
      <c r="D171" s="98" t="n"/>
      <c r="E171" s="106" t="n"/>
      <c r="F171" s="176" t="n"/>
      <c r="G171" s="108" t="n"/>
      <c r="H171" s="176" t="n"/>
      <c r="I171" s="109" t="n"/>
      <c r="J171" s="109" t="n"/>
      <c r="K171" s="109" t="n"/>
      <c r="L171" s="109" t="n"/>
      <c r="M171" s="109" t="n"/>
      <c r="N171" s="109" t="n"/>
      <c r="O171" s="109">
        <f>IF(OR(IF(K171="",IF(J171="",IF(I171="","",I171),J171),K171)="F", IF(N171="",IF(M171="",IF(L171="","",L171), M171),N171)="F")=TRUE,"F",
IF(OR(IF(K171="",IF(J171="",IF(I171="","",I171),J171),K171)="PE", IF(N171="",IF(M171="",IF(L171="","",L171), M171),N171)="PE")=TRUE,"PE",
IF(AND(IF(K171="",IF(J171="",IF(I171="","",I171),J171),K171)="", IF(N171="",IF(M171="",IF(L171="","",L171), M171),N171)="")=TRUE,"","P")))</f>
        <v/>
      </c>
      <c r="P171" s="176" t="n"/>
      <c r="Q171" s="176" t="n"/>
    </row>
    <row r="172" customFormat="1" s="99">
      <c r="A172" s="176" t="n"/>
      <c r="C172" s="98" t="n"/>
      <c r="D172" s="98" t="n"/>
      <c r="E172" s="106" t="n"/>
      <c r="F172" s="176" t="n"/>
      <c r="G172" s="108" t="n"/>
      <c r="H172" s="176" t="n"/>
      <c r="I172" s="109" t="n"/>
      <c r="J172" s="109" t="n"/>
      <c r="K172" s="109" t="n"/>
      <c r="L172" s="109" t="n"/>
      <c r="M172" s="109" t="n"/>
      <c r="N172" s="109" t="n"/>
      <c r="O172" s="109">
        <f>IF(OR(IF(K172="",IF(J172="",IF(I172="","",I172),J172),K172)="F", IF(N172="",IF(M172="",IF(L172="","",L172), M172),N172)="F")=TRUE,"F",
IF(OR(IF(K172="",IF(J172="",IF(I172="","",I172),J172),K172)="PE", IF(N172="",IF(M172="",IF(L172="","",L172), M172),N172)="PE")=TRUE,"PE",
IF(AND(IF(K172="",IF(J172="",IF(I172="","",I172),J172),K172)="", IF(N172="",IF(M172="",IF(L172="","",L172), M172),N172)="")=TRUE,"","P")))</f>
        <v/>
      </c>
      <c r="P172" s="176" t="n"/>
      <c r="Q172" s="176" t="n"/>
    </row>
    <row r="173" customFormat="1" s="99">
      <c r="A173" s="176" t="n"/>
      <c r="C173" s="98" t="n"/>
      <c r="D173" s="98" t="n"/>
      <c r="E173" s="106" t="n"/>
      <c r="F173" s="176" t="n"/>
      <c r="G173" s="108" t="n"/>
      <c r="H173" s="176" t="n"/>
      <c r="I173" s="109" t="n"/>
      <c r="J173" s="109" t="n"/>
      <c r="K173" s="109" t="n"/>
      <c r="L173" s="109" t="n"/>
      <c r="M173" s="109" t="n"/>
      <c r="N173" s="109" t="n"/>
      <c r="O173" s="109">
        <f>IF(OR(IF(K173="",IF(J173="",IF(I173="","",I173),J173),K173)="F", IF(N173="",IF(M173="",IF(L173="","",L173), M173),N173)="F")=TRUE,"F",
IF(OR(IF(K173="",IF(J173="",IF(I173="","",I173),J173),K173)="PE", IF(N173="",IF(M173="",IF(L173="","",L173), M173),N173)="PE")=TRUE,"PE",
IF(AND(IF(K173="",IF(J173="",IF(I173="","",I173),J173),K173)="", IF(N173="",IF(M173="",IF(L173="","",L173), M173),N173)="")=TRUE,"","P")))</f>
        <v/>
      </c>
      <c r="P173" s="176" t="n"/>
      <c r="Q173" s="176" t="n"/>
    </row>
    <row r="174" customFormat="1" s="99">
      <c r="A174" s="176" t="n"/>
      <c r="C174" s="98" t="n"/>
      <c r="D174" s="98" t="n"/>
      <c r="E174" s="106" t="n"/>
      <c r="F174" s="176" t="n"/>
      <c r="G174" s="108" t="n"/>
      <c r="H174" s="176" t="n"/>
      <c r="I174" s="109" t="n"/>
      <c r="J174" s="109" t="n"/>
      <c r="K174" s="109" t="n"/>
      <c r="L174" s="109" t="n"/>
      <c r="M174" s="109" t="n"/>
      <c r="N174" s="109" t="n"/>
      <c r="O174" s="109">
        <f>IF(OR(IF(K174="",IF(J174="",IF(I174="","",I174),J174),K174)="F", IF(N174="",IF(M174="",IF(L174="","",L174), M174),N174)="F")=TRUE,"F",
IF(OR(IF(K174="",IF(J174="",IF(I174="","",I174),J174),K174)="PE", IF(N174="",IF(M174="",IF(L174="","",L174), M174),N174)="PE")=TRUE,"PE",
IF(AND(IF(K174="",IF(J174="",IF(I174="","",I174),J174),K174)="", IF(N174="",IF(M174="",IF(L174="","",L174), M174),N174)="")=TRUE,"","P")))</f>
        <v/>
      </c>
      <c r="P174" s="176" t="n"/>
      <c r="Q174" s="176" t="n"/>
    </row>
    <row r="175" customFormat="1" s="99">
      <c r="A175" s="176" t="n"/>
      <c r="C175" s="98" t="n"/>
      <c r="D175" s="98" t="n"/>
      <c r="E175" s="106" t="n"/>
      <c r="F175" s="176" t="n"/>
      <c r="G175" s="108" t="n"/>
      <c r="H175" s="176" t="n"/>
      <c r="I175" s="109" t="n"/>
      <c r="J175" s="109" t="n"/>
      <c r="K175" s="109" t="n"/>
      <c r="L175" s="109" t="n"/>
      <c r="M175" s="109" t="n"/>
      <c r="N175" s="109" t="n"/>
      <c r="O175" s="109">
        <f>IF(OR(IF(K175="",IF(J175="",IF(I175="","",I175),J175),K175)="F", IF(N175="",IF(M175="",IF(L175="","",L175), M175),N175)="F")=TRUE,"F",
IF(OR(IF(K175="",IF(J175="",IF(I175="","",I175),J175),K175)="PE", IF(N175="",IF(M175="",IF(L175="","",L175), M175),N175)="PE")=TRUE,"PE",
IF(AND(IF(K175="",IF(J175="",IF(I175="","",I175),J175),K175)="", IF(N175="",IF(M175="",IF(L175="","",L175), M175),N175)="")=TRUE,"","P")))</f>
        <v/>
      </c>
      <c r="P175" s="176" t="n"/>
      <c r="Q175" s="176" t="n"/>
    </row>
    <row r="176" customFormat="1" s="99">
      <c r="A176" s="176" t="n"/>
      <c r="C176" s="98" t="n"/>
      <c r="D176" s="98" t="n"/>
      <c r="E176" s="106" t="n"/>
      <c r="F176" s="176" t="n"/>
      <c r="G176" s="108" t="n"/>
      <c r="H176" s="176" t="n"/>
      <c r="I176" s="109" t="n"/>
      <c r="J176" s="109" t="n"/>
      <c r="K176" s="109" t="n"/>
      <c r="L176" s="109" t="n"/>
      <c r="M176" s="109" t="n"/>
      <c r="N176" s="109" t="n"/>
      <c r="O176" s="109">
        <f>IF(OR(IF(K176="",IF(J176="",IF(I176="","",I176),J176),K176)="F", IF(N176="",IF(M176="",IF(L176="","",L176), M176),N176)="F")=TRUE,"F",
IF(OR(IF(K176="",IF(J176="",IF(I176="","",I176),J176),K176)="PE", IF(N176="",IF(M176="",IF(L176="","",L176), M176),N176)="PE")=TRUE,"PE",
IF(AND(IF(K176="",IF(J176="",IF(I176="","",I176),J176),K176)="", IF(N176="",IF(M176="",IF(L176="","",L176), M176),N176)="")=TRUE,"","P")))</f>
        <v/>
      </c>
      <c r="P176" s="176" t="n"/>
      <c r="Q176" s="176" t="n"/>
    </row>
    <row r="177" customFormat="1" s="99">
      <c r="A177" s="176" t="n"/>
      <c r="C177" s="98" t="n"/>
      <c r="D177" s="98" t="n"/>
      <c r="E177" s="106" t="n"/>
      <c r="F177" s="176" t="n"/>
      <c r="G177" s="108" t="n"/>
      <c r="H177" s="176" t="n"/>
      <c r="I177" s="109" t="n"/>
      <c r="J177" s="109" t="n"/>
      <c r="K177" s="109" t="n"/>
      <c r="L177" s="109" t="n"/>
      <c r="M177" s="109" t="n"/>
      <c r="N177" s="109" t="n"/>
      <c r="O177" s="109">
        <f>IF(OR(IF(K177="",IF(J177="",IF(I177="","",I177),J177),K177)="F", IF(N177="",IF(M177="",IF(L177="","",L177), M177),N177)="F")=TRUE,"F",
IF(OR(IF(K177="",IF(J177="",IF(I177="","",I177),J177),K177)="PE", IF(N177="",IF(M177="",IF(L177="","",L177), M177),N177)="PE")=TRUE,"PE",
IF(AND(IF(K177="",IF(J177="",IF(I177="","",I177),J177),K177)="", IF(N177="",IF(M177="",IF(L177="","",L177), M177),N177)="")=TRUE,"","P")))</f>
        <v/>
      </c>
      <c r="P177" s="176" t="n"/>
      <c r="Q177" s="176" t="n"/>
    </row>
    <row r="178" customFormat="1" s="99">
      <c r="A178" s="176" t="n"/>
      <c r="C178" s="98" t="n"/>
      <c r="D178" s="98" t="n"/>
      <c r="E178" s="106" t="n"/>
      <c r="F178" s="176" t="n"/>
      <c r="G178" s="108" t="n"/>
      <c r="H178" s="176" t="n"/>
      <c r="I178" s="109" t="n"/>
      <c r="J178" s="109" t="n"/>
      <c r="K178" s="109" t="n"/>
      <c r="L178" s="109" t="n"/>
      <c r="M178" s="109" t="n"/>
      <c r="N178" s="109" t="n"/>
      <c r="O178" s="109">
        <f>IF(OR(IF(K178="",IF(J178="",IF(I178="","",I178),J178),K178)="F", IF(N178="",IF(M178="",IF(L178="","",L178), M178),N178)="F")=TRUE,"F",
IF(OR(IF(K178="",IF(J178="",IF(I178="","",I178),J178),K178)="PE", IF(N178="",IF(M178="",IF(L178="","",L178), M178),N178)="PE")=TRUE,"PE",
IF(AND(IF(K178="",IF(J178="",IF(I178="","",I178),J178),K178)="", IF(N178="",IF(M178="",IF(L178="","",L178), M178),N178)="")=TRUE,"","P")))</f>
        <v/>
      </c>
      <c r="P178" s="176" t="n"/>
      <c r="Q178" s="176" t="n"/>
    </row>
    <row r="179" customFormat="1" s="99">
      <c r="A179" s="176" t="n"/>
      <c r="C179" s="98" t="n"/>
      <c r="D179" s="98" t="n"/>
      <c r="E179" s="106" t="n"/>
      <c r="F179" s="176" t="n"/>
      <c r="G179" s="108" t="n"/>
      <c r="H179" s="176" t="n"/>
      <c r="I179" s="109" t="n"/>
      <c r="J179" s="109" t="n"/>
      <c r="K179" s="109" t="n"/>
      <c r="L179" s="109" t="n"/>
      <c r="M179" s="109" t="n"/>
      <c r="N179" s="109" t="n"/>
      <c r="O179" s="109">
        <f>IF(OR(IF(K179="",IF(J179="",IF(I179="","",I179),J179),K179)="F", IF(N179="",IF(M179="",IF(L179="","",L179), M179),N179)="F")=TRUE,"F",
IF(OR(IF(K179="",IF(J179="",IF(I179="","",I179),J179),K179)="PE", IF(N179="",IF(M179="",IF(L179="","",L179), M179),N179)="PE")=TRUE,"PE",
IF(AND(IF(K179="",IF(J179="",IF(I179="","",I179),J179),K179)="", IF(N179="",IF(M179="",IF(L179="","",L179), M179),N179)="")=TRUE,"","P")))</f>
        <v/>
      </c>
      <c r="P179" s="176" t="n"/>
      <c r="Q179" s="176" t="n"/>
    </row>
    <row r="180" customFormat="1" s="99">
      <c r="A180" s="176" t="n"/>
      <c r="C180" s="98" t="n"/>
      <c r="D180" s="98" t="n"/>
      <c r="E180" s="106" t="n"/>
      <c r="F180" s="176" t="n"/>
      <c r="G180" s="108" t="n"/>
      <c r="H180" s="176" t="n"/>
      <c r="I180" s="109" t="n"/>
      <c r="J180" s="109" t="n"/>
      <c r="K180" s="109" t="n"/>
      <c r="L180" s="109" t="n"/>
      <c r="M180" s="109" t="n"/>
      <c r="N180" s="109" t="n"/>
      <c r="O180" s="109">
        <f>IF(OR(IF(K180="",IF(J180="",IF(I180="","",I180),J180),K180)="F", IF(N180="",IF(M180="",IF(L180="","",L180), M180),N180)="F")=TRUE,"F",
IF(OR(IF(K180="",IF(J180="",IF(I180="","",I180),J180),K180)="PE", IF(N180="",IF(M180="",IF(L180="","",L180), M180),N180)="PE")=TRUE,"PE",
IF(AND(IF(K180="",IF(J180="",IF(I180="","",I180),J180),K180)="", IF(N180="",IF(M180="",IF(L180="","",L180), M180),N180)="")=TRUE,"","P")))</f>
        <v/>
      </c>
      <c r="P180" s="176" t="n"/>
      <c r="Q180" s="176" t="n"/>
    </row>
    <row r="181" customFormat="1" s="99">
      <c r="A181" s="176" t="n"/>
      <c r="C181" s="98" t="n"/>
      <c r="D181" s="98" t="n"/>
      <c r="E181" s="106" t="n"/>
      <c r="F181" s="176" t="n"/>
      <c r="G181" s="108" t="n"/>
      <c r="H181" s="176" t="n"/>
      <c r="I181" s="109" t="n"/>
      <c r="J181" s="109" t="n"/>
      <c r="K181" s="109" t="n"/>
      <c r="L181" s="109" t="n"/>
      <c r="M181" s="109" t="n"/>
      <c r="N181" s="109" t="n"/>
      <c r="O181" s="109">
        <f>IF(OR(IF(K181="",IF(J181="",IF(I181="","",I181),J181),K181)="F", IF(N181="",IF(M181="",IF(L181="","",L181), M181),N181)="F")=TRUE,"F",
IF(OR(IF(K181="",IF(J181="",IF(I181="","",I181),J181),K181)="PE", IF(N181="",IF(M181="",IF(L181="","",L181), M181),N181)="PE")=TRUE,"PE",
IF(AND(IF(K181="",IF(J181="",IF(I181="","",I181),J181),K181)="", IF(N181="",IF(M181="",IF(L181="","",L181), M181),N181)="")=TRUE,"","P")))</f>
        <v/>
      </c>
      <c r="P181" s="176" t="n"/>
      <c r="Q181" s="176" t="n"/>
    </row>
    <row r="182" customFormat="1" s="99">
      <c r="A182" s="176" t="n"/>
      <c r="C182" s="98" t="n"/>
      <c r="D182" s="98" t="n"/>
      <c r="E182" s="106" t="n"/>
      <c r="F182" s="176" t="n"/>
      <c r="G182" s="108" t="n"/>
      <c r="H182" s="176" t="n"/>
      <c r="I182" s="109" t="n"/>
      <c r="J182" s="109" t="n"/>
      <c r="K182" s="109" t="n"/>
      <c r="L182" s="109" t="n"/>
      <c r="M182" s="109" t="n"/>
      <c r="N182" s="109" t="n"/>
      <c r="O182" s="109">
        <f>IF(OR(IF(K182="",IF(J182="",IF(I182="","",I182),J182),K182)="F", IF(N182="",IF(M182="",IF(L182="","",L182), M182),N182)="F")=TRUE,"F",
IF(OR(IF(K182="",IF(J182="",IF(I182="","",I182),J182),K182)="PE", IF(N182="",IF(M182="",IF(L182="","",L182), M182),N182)="PE")=TRUE,"PE",
IF(AND(IF(K182="",IF(J182="",IF(I182="","",I182),J182),K182)="", IF(N182="",IF(M182="",IF(L182="","",L182), M182),N182)="")=TRUE,"","P")))</f>
        <v/>
      </c>
      <c r="P182" s="176" t="n"/>
      <c r="Q182" s="176" t="n"/>
    </row>
    <row r="183" customFormat="1" s="99">
      <c r="A183" s="176" t="n"/>
      <c r="C183" s="98" t="n"/>
      <c r="D183" s="98" t="n"/>
      <c r="E183" s="106" t="n"/>
      <c r="F183" s="176" t="n"/>
      <c r="G183" s="108" t="n"/>
      <c r="H183" s="176" t="n"/>
      <c r="I183" s="109" t="n"/>
      <c r="J183" s="109" t="n"/>
      <c r="K183" s="109" t="n"/>
      <c r="L183" s="109" t="n"/>
      <c r="M183" s="109" t="n"/>
      <c r="N183" s="109" t="n"/>
      <c r="O183" s="109">
        <f>IF(OR(IF(K183="",IF(J183="",IF(I183="","",I183),J183),K183)="F", IF(N183="",IF(M183="",IF(L183="","",L183), M183),N183)="F")=TRUE,"F",
IF(OR(IF(K183="",IF(J183="",IF(I183="","",I183),J183),K183)="PE", IF(N183="",IF(M183="",IF(L183="","",L183), M183),N183)="PE")=TRUE,"PE",
IF(AND(IF(K183="",IF(J183="",IF(I183="","",I183),J183),K183)="", IF(N183="",IF(M183="",IF(L183="","",L183), M183),N183)="")=TRUE,"","P")))</f>
        <v/>
      </c>
      <c r="P183" s="176" t="n"/>
      <c r="Q183" s="176" t="n"/>
    </row>
    <row r="184" customFormat="1" s="99">
      <c r="A184" s="176" t="n"/>
      <c r="C184" s="98" t="n"/>
      <c r="D184" s="98" t="n"/>
      <c r="E184" s="106" t="n"/>
      <c r="F184" s="176" t="n"/>
      <c r="G184" s="108" t="n"/>
      <c r="H184" s="176" t="n"/>
      <c r="I184" s="109" t="n"/>
      <c r="J184" s="109" t="n"/>
      <c r="K184" s="109" t="n"/>
      <c r="L184" s="109" t="n"/>
      <c r="M184" s="109" t="n"/>
      <c r="N184" s="109" t="n"/>
      <c r="O184" s="109">
        <f>IF(OR(IF(K184="",IF(J184="",IF(I184="","",I184),J184),K184)="F", IF(N184="",IF(M184="",IF(L184="","",L184), M184),N184)="F")=TRUE,"F",
IF(OR(IF(K184="",IF(J184="",IF(I184="","",I184),J184),K184)="PE", IF(N184="",IF(M184="",IF(L184="","",L184), M184),N184)="PE")=TRUE,"PE",
IF(AND(IF(K184="",IF(J184="",IF(I184="","",I184),J184),K184)="", IF(N184="",IF(M184="",IF(L184="","",L184), M184),N184)="")=TRUE,"","P")))</f>
        <v/>
      </c>
      <c r="P184" s="176" t="n"/>
      <c r="Q184" s="176" t="n"/>
    </row>
    <row r="185" customFormat="1" s="99">
      <c r="A185" s="176" t="n"/>
      <c r="C185" s="98" t="n"/>
      <c r="D185" s="98" t="n"/>
      <c r="E185" s="106" t="n"/>
      <c r="F185" s="176" t="n"/>
      <c r="G185" s="108" t="n"/>
      <c r="H185" s="176" t="n"/>
      <c r="I185" s="109" t="n"/>
      <c r="J185" s="109" t="n"/>
      <c r="K185" s="109" t="n"/>
      <c r="L185" s="109" t="n"/>
      <c r="M185" s="109" t="n"/>
      <c r="N185" s="109" t="n"/>
      <c r="O185" s="109">
        <f>IF(OR(IF(K185="",IF(J185="",IF(I185="","",I185),J185),K185)="F", IF(N185="",IF(M185="",IF(L185="","",L185), M185),N185)="F")=TRUE,"F",
IF(OR(IF(K185="",IF(J185="",IF(I185="","",I185),J185),K185)="PE", IF(N185="",IF(M185="",IF(L185="","",L185), M185),N185)="PE")=TRUE,"PE",
IF(AND(IF(K185="",IF(J185="",IF(I185="","",I185),J185),K185)="", IF(N185="",IF(M185="",IF(L185="","",L185), M185),N185)="")=TRUE,"","P")))</f>
        <v/>
      </c>
      <c r="P185" s="176" t="n"/>
      <c r="Q185" s="176" t="n"/>
    </row>
    <row r="186" customFormat="1" s="99">
      <c r="A186" s="176" t="n"/>
      <c r="C186" s="98" t="n"/>
      <c r="D186" s="98" t="n"/>
      <c r="E186" s="106" t="n"/>
      <c r="F186" s="176" t="n"/>
      <c r="G186" s="108" t="n"/>
      <c r="H186" s="176" t="n"/>
      <c r="I186" s="109" t="n"/>
      <c r="J186" s="109" t="n"/>
      <c r="K186" s="109" t="n"/>
      <c r="L186" s="109" t="n"/>
      <c r="M186" s="109" t="n"/>
      <c r="N186" s="109" t="n"/>
      <c r="O186" s="109">
        <f>IF(OR(IF(K186="",IF(J186="",IF(I186="","",I186),J186),K186)="F", IF(N186="",IF(M186="",IF(L186="","",L186), M186),N186)="F")=TRUE,"F",
IF(OR(IF(K186="",IF(J186="",IF(I186="","",I186),J186),K186)="PE", IF(N186="",IF(M186="",IF(L186="","",L186), M186),N186)="PE")=TRUE,"PE",
IF(AND(IF(K186="",IF(J186="",IF(I186="","",I186),J186),K186)="", IF(N186="",IF(M186="",IF(L186="","",L186), M186),N186)="")=TRUE,"","P")))</f>
        <v/>
      </c>
      <c r="P186" s="176" t="n"/>
      <c r="Q186" s="176" t="n"/>
    </row>
    <row r="187" customFormat="1" s="99">
      <c r="A187" s="176" t="n"/>
      <c r="C187" s="98" t="n"/>
      <c r="D187" s="98" t="n"/>
      <c r="E187" s="106" t="n"/>
      <c r="F187" s="176" t="n"/>
      <c r="G187" s="108" t="n"/>
      <c r="H187" s="176" t="n"/>
      <c r="I187" s="109" t="n"/>
      <c r="J187" s="109" t="n"/>
      <c r="K187" s="109" t="n"/>
      <c r="L187" s="109" t="n"/>
      <c r="M187" s="109" t="n"/>
      <c r="N187" s="109" t="n"/>
      <c r="O187" s="109">
        <f>IF(OR(IF(K187="",IF(J187="",IF(I187="","",I187),J187),K187)="F", IF(N187="",IF(M187="",IF(L187="","",L187), M187),N187)="F")=TRUE,"F",
IF(OR(IF(K187="",IF(J187="",IF(I187="","",I187),J187),K187)="PE", IF(N187="",IF(M187="",IF(L187="","",L187), M187),N187)="PE")=TRUE,"PE",
IF(AND(IF(K187="",IF(J187="",IF(I187="","",I187),J187),K187)="", IF(N187="",IF(M187="",IF(L187="","",L187), M187),N187)="")=TRUE,"","P")))</f>
        <v/>
      </c>
      <c r="P187" s="176" t="n"/>
      <c r="Q187" s="176" t="n"/>
    </row>
    <row r="188" customFormat="1" s="99">
      <c r="A188" s="176" t="n"/>
      <c r="C188" s="98" t="n"/>
      <c r="D188" s="98" t="n"/>
      <c r="E188" s="106" t="n"/>
      <c r="F188" s="176" t="n"/>
      <c r="G188" s="108" t="n"/>
      <c r="H188" s="176" t="n"/>
      <c r="I188" s="109" t="n"/>
      <c r="J188" s="109" t="n"/>
      <c r="K188" s="109" t="n"/>
      <c r="L188" s="109" t="n"/>
      <c r="M188" s="109" t="n"/>
      <c r="N188" s="109" t="n"/>
      <c r="O188" s="109">
        <f>IF(OR(IF(K188="",IF(J188="",IF(I188="","",I188),J188),K188)="F", IF(N188="",IF(M188="",IF(L188="","",L188), M188),N188)="F")=TRUE,"F",
IF(OR(IF(K188="",IF(J188="",IF(I188="","",I188),J188),K188)="PE", IF(N188="",IF(M188="",IF(L188="","",L188), M188),N188)="PE")=TRUE,"PE",
IF(AND(IF(K188="",IF(J188="",IF(I188="","",I188),J188),K188)="", IF(N188="",IF(M188="",IF(L188="","",L188), M188),N188)="")=TRUE,"","P")))</f>
        <v/>
      </c>
      <c r="P188" s="176" t="n"/>
      <c r="Q188" s="176" t="n"/>
    </row>
    <row r="189" customFormat="1" s="99">
      <c r="A189" s="176" t="n"/>
      <c r="C189" s="98" t="n"/>
      <c r="D189" s="98" t="n"/>
      <c r="E189" s="106" t="n"/>
      <c r="F189" s="176" t="n"/>
      <c r="G189" s="108" t="n"/>
      <c r="H189" s="176" t="n"/>
      <c r="I189" s="109" t="n"/>
      <c r="J189" s="109" t="n"/>
      <c r="K189" s="109" t="n"/>
      <c r="L189" s="109" t="n"/>
      <c r="M189" s="109" t="n"/>
      <c r="N189" s="109" t="n"/>
      <c r="O189" s="109">
        <f>IF(OR(IF(K189="",IF(J189="",IF(I189="","",I189),J189),K189)="F", IF(N189="",IF(M189="",IF(L189="","",L189), M189),N189)="F")=TRUE,"F",
IF(OR(IF(K189="",IF(J189="",IF(I189="","",I189),J189),K189)="PE", IF(N189="",IF(M189="",IF(L189="","",L189), M189),N189)="PE")=TRUE,"PE",
IF(AND(IF(K189="",IF(J189="",IF(I189="","",I189),J189),K189)="", IF(N189="",IF(M189="",IF(L189="","",L189), M189),N189)="")=TRUE,"","P")))</f>
        <v/>
      </c>
      <c r="P189" s="176" t="n"/>
      <c r="Q189" s="176" t="n"/>
    </row>
    <row r="190" customFormat="1" s="99">
      <c r="A190" s="176" t="n"/>
      <c r="C190" s="98" t="n"/>
      <c r="D190" s="98" t="n"/>
      <c r="E190" s="106" t="n"/>
      <c r="F190" s="176" t="n"/>
      <c r="G190" s="108" t="n"/>
      <c r="H190" s="176" t="n"/>
      <c r="I190" s="109" t="n"/>
      <c r="J190" s="109" t="n"/>
      <c r="K190" s="109" t="n"/>
      <c r="L190" s="109" t="n"/>
      <c r="M190" s="109" t="n"/>
      <c r="N190" s="109" t="n"/>
      <c r="O190" s="109">
        <f>IF(OR(IF(K190="",IF(J190="",IF(I190="","",I190),J190),K190)="F", IF(N190="",IF(M190="",IF(L190="","",L190), M190),N190)="F")=TRUE,"F",
IF(OR(IF(K190="",IF(J190="",IF(I190="","",I190),J190),K190)="PE", IF(N190="",IF(M190="",IF(L190="","",L190), M190),N190)="PE")=TRUE,"PE",
IF(AND(IF(K190="",IF(J190="",IF(I190="","",I190),J190),K190)="", IF(N190="",IF(M190="",IF(L190="","",L190), M190),N190)="")=TRUE,"","P")))</f>
        <v/>
      </c>
      <c r="P190" s="176" t="n"/>
      <c r="Q190" s="176" t="n"/>
    </row>
    <row r="191" customFormat="1" s="99">
      <c r="A191" s="176" t="n"/>
      <c r="C191" s="98" t="n"/>
      <c r="D191" s="98" t="n"/>
      <c r="E191" s="106" t="n"/>
      <c r="F191" s="176" t="n"/>
      <c r="G191" s="108" t="n"/>
      <c r="H191" s="176" t="n"/>
      <c r="I191" s="109" t="n"/>
      <c r="J191" s="109" t="n"/>
      <c r="K191" s="109" t="n"/>
      <c r="L191" s="109" t="n"/>
      <c r="M191" s="109" t="n"/>
      <c r="N191" s="109" t="n"/>
      <c r="O191" s="109">
        <f>IF(OR(IF(K191="",IF(J191="",IF(I191="","",I191),J191),K191)="F", IF(N191="",IF(M191="",IF(L191="","",L191), M191),N191)="F")=TRUE,"F",
IF(OR(IF(K191="",IF(J191="",IF(I191="","",I191),J191),K191)="PE", IF(N191="",IF(M191="",IF(L191="","",L191), M191),N191)="PE")=TRUE,"PE",
IF(AND(IF(K191="",IF(J191="",IF(I191="","",I191),J191),K191)="", IF(N191="",IF(M191="",IF(L191="","",L191), M191),N191)="")=TRUE,"","P")))</f>
        <v/>
      </c>
      <c r="P191" s="176" t="n"/>
      <c r="Q191" s="176" t="n"/>
    </row>
    <row r="192" customFormat="1" s="99">
      <c r="A192" s="176" t="n"/>
      <c r="C192" s="98" t="n"/>
      <c r="D192" s="98" t="n"/>
      <c r="E192" s="106" t="n"/>
      <c r="F192" s="176" t="n"/>
      <c r="G192" s="108" t="n"/>
      <c r="H192" s="176" t="n"/>
      <c r="I192" s="109" t="n"/>
      <c r="J192" s="109" t="n"/>
      <c r="K192" s="109" t="n"/>
      <c r="L192" s="109" t="n"/>
      <c r="M192" s="109" t="n"/>
      <c r="N192" s="109" t="n"/>
      <c r="O192" s="109">
        <f>IF(OR(IF(K192="",IF(J192="",IF(I192="","",I192),J192),K192)="F", IF(N192="",IF(M192="",IF(L192="","",L192), M192),N192)="F")=TRUE,"F",
IF(OR(IF(K192="",IF(J192="",IF(I192="","",I192),J192),K192)="PE", IF(N192="",IF(M192="",IF(L192="","",L192), M192),N192)="PE")=TRUE,"PE",
IF(AND(IF(K192="",IF(J192="",IF(I192="","",I192),J192),K192)="", IF(N192="",IF(M192="",IF(L192="","",L192), M192),N192)="")=TRUE,"","P")))</f>
        <v/>
      </c>
      <c r="P192" s="176" t="n"/>
      <c r="Q192" s="176" t="n"/>
    </row>
    <row r="193" customFormat="1" s="99">
      <c r="A193" s="176" t="n"/>
      <c r="C193" s="98" t="n"/>
      <c r="D193" s="98" t="n"/>
      <c r="E193" s="106" t="n"/>
      <c r="F193" s="176" t="n"/>
      <c r="G193" s="108" t="n"/>
      <c r="H193" s="176" t="n"/>
      <c r="I193" s="109" t="n"/>
      <c r="J193" s="109" t="n"/>
      <c r="K193" s="109" t="n"/>
      <c r="L193" s="109" t="n"/>
      <c r="M193" s="109" t="n"/>
      <c r="N193" s="109" t="n"/>
      <c r="O193" s="109">
        <f>IF(OR(IF(K193="",IF(J193="",IF(I193="","",I193),J193),K193)="F", IF(N193="",IF(M193="",IF(L193="","",L193), M193),N193)="F")=TRUE,"F",
IF(OR(IF(K193="",IF(J193="",IF(I193="","",I193),J193),K193)="PE", IF(N193="",IF(M193="",IF(L193="","",L193), M193),N193)="PE")=TRUE,"PE",
IF(AND(IF(K193="",IF(J193="",IF(I193="","",I193),J193),K193)="", IF(N193="",IF(M193="",IF(L193="","",L193), M193),N193)="")=TRUE,"","P")))</f>
        <v/>
      </c>
      <c r="P193" s="176" t="n"/>
      <c r="Q193" s="176" t="n"/>
    </row>
    <row r="194" customFormat="1" s="99">
      <c r="A194" s="176" t="n"/>
      <c r="C194" s="98" t="n"/>
      <c r="D194" s="98" t="n"/>
      <c r="E194" s="106" t="n"/>
      <c r="F194" s="176" t="n"/>
      <c r="G194" s="108" t="n"/>
      <c r="H194" s="176" t="n"/>
      <c r="I194" s="109" t="n"/>
      <c r="J194" s="109" t="n"/>
      <c r="K194" s="109" t="n"/>
      <c r="L194" s="109" t="n"/>
      <c r="M194" s="109" t="n"/>
      <c r="N194" s="109" t="n"/>
      <c r="O194" s="109">
        <f>IF(OR(IF(K194="",IF(J194="",IF(I194="","",I194),J194),K194)="F", IF(N194="",IF(M194="",IF(L194="","",L194), M194),N194)="F")=TRUE,"F",
IF(OR(IF(K194="",IF(J194="",IF(I194="","",I194),J194),K194)="PE", IF(N194="",IF(M194="",IF(L194="","",L194), M194),N194)="PE")=TRUE,"PE",
IF(AND(IF(K194="",IF(J194="",IF(I194="","",I194),J194),K194)="", IF(N194="",IF(M194="",IF(L194="","",L194), M194),N194)="")=TRUE,"","P")))</f>
        <v/>
      </c>
      <c r="P194" s="176" t="n"/>
      <c r="Q194" s="176" t="n"/>
    </row>
    <row r="195" customFormat="1" s="99">
      <c r="A195" s="176" t="n"/>
      <c r="C195" s="98" t="n"/>
      <c r="D195" s="98" t="n"/>
      <c r="E195" s="106" t="n"/>
      <c r="F195" s="176" t="n"/>
      <c r="G195" s="108" t="n"/>
      <c r="H195" s="176" t="n"/>
      <c r="I195" s="109" t="n"/>
      <c r="J195" s="109" t="n"/>
      <c r="K195" s="109" t="n"/>
      <c r="L195" s="109" t="n"/>
      <c r="M195" s="109" t="n"/>
      <c r="N195" s="109" t="n"/>
      <c r="O195" s="109">
        <f>IF(OR(IF(K195="",IF(J195="",IF(I195="","",I195),J195),K195)="F", IF(N195="",IF(M195="",IF(L195="","",L195), M195),N195)="F")=TRUE,"F",
IF(OR(IF(K195="",IF(J195="",IF(I195="","",I195),J195),K195)="PE", IF(N195="",IF(M195="",IF(L195="","",L195), M195),N195)="PE")=TRUE,"PE",
IF(AND(IF(K195="",IF(J195="",IF(I195="","",I195),J195),K195)="", IF(N195="",IF(M195="",IF(L195="","",L195), M195),N195)="")=TRUE,"","P")))</f>
        <v/>
      </c>
      <c r="P195" s="176" t="n"/>
      <c r="Q195" s="176" t="n"/>
    </row>
    <row r="196" customFormat="1" s="99">
      <c r="A196" s="176" t="n"/>
      <c r="C196" s="98" t="n"/>
      <c r="D196" s="98" t="n"/>
      <c r="E196" s="106" t="n"/>
      <c r="F196" s="176" t="n"/>
      <c r="G196" s="108" t="n"/>
      <c r="H196" s="176" t="n"/>
      <c r="I196" s="109" t="n"/>
      <c r="J196" s="109" t="n"/>
      <c r="K196" s="109" t="n"/>
      <c r="L196" s="109" t="n"/>
      <c r="M196" s="109" t="n"/>
      <c r="N196" s="109" t="n"/>
      <c r="O196" s="109">
        <f>IF(OR(IF(K196="",IF(J196="",IF(I196="","",I196),J196),K196)="F", IF(N196="",IF(M196="",IF(L196="","",L196), M196),N196)="F")=TRUE,"F",
IF(OR(IF(K196="",IF(J196="",IF(I196="","",I196),J196),K196)="PE", IF(N196="",IF(M196="",IF(L196="","",L196), M196),N196)="PE")=TRUE,"PE",
IF(AND(IF(K196="",IF(J196="",IF(I196="","",I196),J196),K196)="", IF(N196="",IF(M196="",IF(L196="","",L196), M196),N196)="")=TRUE,"","P")))</f>
        <v/>
      </c>
      <c r="P196" s="176" t="n"/>
      <c r="Q196" s="176" t="n"/>
    </row>
    <row r="197" customFormat="1" s="99">
      <c r="A197" s="176" t="n"/>
      <c r="C197" s="98" t="n"/>
      <c r="D197" s="98" t="n"/>
      <c r="E197" s="106" t="n"/>
      <c r="F197" s="176" t="n"/>
      <c r="G197" s="108" t="n"/>
      <c r="H197" s="176" t="n"/>
      <c r="I197" s="109" t="n"/>
      <c r="J197" s="109" t="n"/>
      <c r="K197" s="109" t="n"/>
      <c r="L197" s="109" t="n"/>
      <c r="M197" s="109" t="n"/>
      <c r="N197" s="109" t="n"/>
      <c r="O197" s="109">
        <f>IF(OR(IF(K197="",IF(J197="",IF(I197="","",I197),J197),K197)="F", IF(N197="",IF(M197="",IF(L197="","",L197), M197),N197)="F")=TRUE,"F",
IF(OR(IF(K197="",IF(J197="",IF(I197="","",I197),J197),K197)="PE", IF(N197="",IF(M197="",IF(L197="","",L197), M197),N197)="PE")=TRUE,"PE",
IF(AND(IF(K197="",IF(J197="",IF(I197="","",I197),J197),K197)="", IF(N197="",IF(M197="",IF(L197="","",L197), M197),N197)="")=TRUE,"","P")))</f>
        <v/>
      </c>
      <c r="P197" s="176" t="n"/>
      <c r="Q197" s="176" t="n"/>
    </row>
    <row r="198" customFormat="1" s="99">
      <c r="A198" s="176" t="n"/>
      <c r="C198" s="98" t="n"/>
      <c r="D198" s="98" t="n"/>
      <c r="E198" s="106" t="n"/>
      <c r="F198" s="176" t="n"/>
      <c r="G198" s="108" t="n"/>
      <c r="H198" s="176" t="n"/>
      <c r="I198" s="109" t="n"/>
      <c r="J198" s="109" t="n"/>
      <c r="K198" s="109" t="n"/>
      <c r="L198" s="109" t="n"/>
      <c r="M198" s="109" t="n"/>
      <c r="N198" s="109" t="n"/>
      <c r="O198" s="109">
        <f>IF(OR(IF(K198="",IF(J198="",IF(I198="","",I198),J198),K198)="F", IF(N198="",IF(M198="",IF(L198="","",L198), M198),N198)="F")=TRUE,"F",
IF(OR(IF(K198="",IF(J198="",IF(I198="","",I198),J198),K198)="PE", IF(N198="",IF(M198="",IF(L198="","",L198), M198),N198)="PE")=TRUE,"PE",
IF(AND(IF(K198="",IF(J198="",IF(I198="","",I198),J198),K198)="", IF(N198="",IF(M198="",IF(L198="","",L198), M198),N198)="")=TRUE,"","P")))</f>
        <v/>
      </c>
      <c r="P198" s="176" t="n"/>
      <c r="Q198" s="176" t="n"/>
    </row>
    <row r="199" customFormat="1" s="99">
      <c r="A199" s="176" t="n"/>
      <c r="C199" s="98" t="n"/>
      <c r="D199" s="98" t="n"/>
      <c r="E199" s="106" t="n"/>
      <c r="F199" s="176" t="n"/>
      <c r="G199" s="108" t="n"/>
      <c r="H199" s="176" t="n"/>
      <c r="I199" s="109" t="n"/>
      <c r="J199" s="109" t="n"/>
      <c r="K199" s="109" t="n"/>
      <c r="L199" s="109" t="n"/>
      <c r="M199" s="109" t="n"/>
      <c r="N199" s="109" t="n"/>
      <c r="O199" s="109">
        <f>IF(OR(IF(K199="",IF(J199="",IF(I199="","",I199),J199),K199)="F", IF(N199="",IF(M199="",IF(L199="","",L199), M199),N199)="F")=TRUE,"F",
IF(OR(IF(K199="",IF(J199="",IF(I199="","",I199),J199),K199)="PE", IF(N199="",IF(M199="",IF(L199="","",L199), M199),N199)="PE")=TRUE,"PE",
IF(AND(IF(K199="",IF(J199="",IF(I199="","",I199),J199),K199)="", IF(N199="",IF(M199="",IF(L199="","",L199), M199),N199)="")=TRUE,"","P")))</f>
        <v/>
      </c>
      <c r="P199" s="176" t="n"/>
      <c r="Q199" s="176" t="n"/>
    </row>
    <row r="200" customFormat="1" s="99">
      <c r="A200" s="176" t="n"/>
      <c r="C200" s="98" t="n"/>
      <c r="D200" s="98" t="n"/>
      <c r="E200" s="106" t="n"/>
      <c r="F200" s="176" t="n"/>
      <c r="G200" s="108" t="n"/>
      <c r="H200" s="176" t="n"/>
      <c r="I200" s="109" t="n"/>
      <c r="J200" s="109" t="n"/>
      <c r="K200" s="109" t="n"/>
      <c r="L200" s="109" t="n"/>
      <c r="M200" s="109" t="n"/>
      <c r="N200" s="109" t="n"/>
      <c r="O200" s="109">
        <f>IF(OR(IF(K200="",IF(J200="",IF(I200="","",I200),J200),K200)="F", IF(N200="",IF(M200="",IF(L200="","",L200), M200),N200)="F")=TRUE,"F",
IF(OR(IF(K200="",IF(J200="",IF(I200="","",I200),J200),K200)="PE", IF(N200="",IF(M200="",IF(L200="","",L200), M200),N200)="PE")=TRUE,"PE",
IF(AND(IF(K200="",IF(J200="",IF(I200="","",I200),J200),K200)="", IF(N200="",IF(M200="",IF(L200="","",L200), M200),N200)="")=TRUE,"","P")))</f>
        <v/>
      </c>
      <c r="P200" s="176" t="n"/>
      <c r="Q200" s="176" t="n"/>
    </row>
    <row r="201" customFormat="1" s="99">
      <c r="A201" s="176" t="n"/>
      <c r="C201" s="98" t="n"/>
      <c r="D201" s="98" t="n"/>
      <c r="E201" s="106" t="n"/>
      <c r="F201" s="176" t="n"/>
      <c r="G201" s="108" t="n"/>
      <c r="H201" s="176" t="n"/>
      <c r="I201" s="109" t="n"/>
      <c r="J201" s="109" t="n"/>
      <c r="K201" s="109" t="n"/>
      <c r="L201" s="109" t="n"/>
      <c r="M201" s="109" t="n"/>
      <c r="N201" s="109" t="n"/>
      <c r="O201" s="109">
        <f>IF(OR(IF(K201="",IF(J201="",IF(I201="","",I201),J201),K201)="F", IF(N201="",IF(M201="",IF(L201="","",L201), M201),N201)="F")=TRUE,"F",
IF(OR(IF(K201="",IF(J201="",IF(I201="","",I201),J201),K201)="PE", IF(N201="",IF(M201="",IF(L201="","",L201), M201),N201)="PE")=TRUE,"PE",
IF(AND(IF(K201="",IF(J201="",IF(I201="","",I201),J201),K201)="", IF(N201="",IF(M201="",IF(L201="","",L201), M201),N201)="")=TRUE,"","P")))</f>
        <v/>
      </c>
      <c r="P201" s="176" t="n"/>
      <c r="Q201" s="176" t="n"/>
    </row>
    <row r="202" customFormat="1" s="99">
      <c r="A202" s="176" t="n"/>
      <c r="C202" s="98" t="n"/>
      <c r="D202" s="98" t="n"/>
      <c r="E202" s="106" t="n"/>
      <c r="F202" s="176" t="n"/>
      <c r="G202" s="108" t="n"/>
      <c r="H202" s="176" t="n"/>
      <c r="I202" s="109" t="n"/>
      <c r="J202" s="109" t="n"/>
      <c r="K202" s="109" t="n"/>
      <c r="L202" s="109" t="n"/>
      <c r="M202" s="109" t="n"/>
      <c r="N202" s="109" t="n"/>
      <c r="O202" s="109">
        <f>IF(OR(IF(K202="",IF(J202="",IF(I202="","",I202),J202),K202)="F", IF(N202="",IF(M202="",IF(L202="","",L202), M202),N202)="F")=TRUE,"F",
IF(OR(IF(K202="",IF(J202="",IF(I202="","",I202),J202),K202)="PE", IF(N202="",IF(M202="",IF(L202="","",L202), M202),N202)="PE")=TRUE,"PE",
IF(AND(IF(K202="",IF(J202="",IF(I202="","",I202),J202),K202)="", IF(N202="",IF(M202="",IF(L202="","",L202), M202),N202)="")=TRUE,"","P")))</f>
        <v/>
      </c>
      <c r="P202" s="176" t="n"/>
      <c r="Q202" s="176" t="n"/>
    </row>
    <row r="203" customFormat="1" s="99">
      <c r="A203" s="176" t="n"/>
      <c r="C203" s="98" t="n"/>
      <c r="D203" s="98" t="n"/>
      <c r="E203" s="106" t="n"/>
      <c r="F203" s="176" t="n"/>
      <c r="G203" s="108" t="n"/>
      <c r="H203" s="176" t="n"/>
      <c r="I203" s="109" t="n"/>
      <c r="J203" s="109" t="n"/>
      <c r="K203" s="109" t="n"/>
      <c r="L203" s="109" t="n"/>
      <c r="M203" s="109" t="n"/>
      <c r="N203" s="109" t="n"/>
      <c r="O203" s="109">
        <f>IF(OR(IF(K203="",IF(J203="",IF(I203="","",I203),J203),K203)="F", IF(N203="",IF(M203="",IF(L203="","",L203), M203),N203)="F")=TRUE,"F",
IF(OR(IF(K203="",IF(J203="",IF(I203="","",I203),J203),K203)="PE", IF(N203="",IF(M203="",IF(L203="","",L203), M203),N203)="PE")=TRUE,"PE",
IF(AND(IF(K203="",IF(J203="",IF(I203="","",I203),J203),K203)="", IF(N203="",IF(M203="",IF(L203="","",L203), M203),N203)="")=TRUE,"","P")))</f>
        <v/>
      </c>
      <c r="P203" s="176" t="n"/>
      <c r="Q203" s="176" t="n"/>
    </row>
    <row r="204" customFormat="1" s="99">
      <c r="A204" s="176" t="n"/>
      <c r="C204" s="98" t="n"/>
      <c r="D204" s="98" t="n"/>
      <c r="E204" s="106" t="n"/>
      <c r="F204" s="176" t="n"/>
      <c r="G204" s="108" t="n"/>
      <c r="H204" s="176" t="n"/>
      <c r="I204" s="109" t="n"/>
      <c r="J204" s="109" t="n"/>
      <c r="K204" s="109" t="n"/>
      <c r="L204" s="109" t="n"/>
      <c r="M204" s="109" t="n"/>
      <c r="N204" s="109" t="n"/>
      <c r="O204" s="109">
        <f>IF(OR(IF(K204="",IF(J204="",IF(I204="","",I204),J204),K204)="F", IF(N204="",IF(M204="",IF(L204="","",L204), M204),N204)="F")=TRUE,"F",
IF(OR(IF(K204="",IF(J204="",IF(I204="","",I204),J204),K204)="PE", IF(N204="",IF(M204="",IF(L204="","",L204), M204),N204)="PE")=TRUE,"PE",
IF(AND(IF(K204="",IF(J204="",IF(I204="","",I204),J204),K204)="", IF(N204="",IF(M204="",IF(L204="","",L204), M204),N204)="")=TRUE,"","P")))</f>
        <v/>
      </c>
      <c r="P204" s="176" t="n"/>
      <c r="Q204" s="176" t="n"/>
    </row>
    <row r="205" customFormat="1" s="99">
      <c r="A205" s="176" t="n"/>
      <c r="C205" s="98" t="n"/>
      <c r="D205" s="98" t="n"/>
      <c r="E205" s="106" t="n"/>
      <c r="F205" s="176" t="n"/>
      <c r="G205" s="108" t="n"/>
      <c r="H205" s="176" t="n"/>
      <c r="I205" s="109" t="n"/>
      <c r="J205" s="109" t="n"/>
      <c r="K205" s="109" t="n"/>
      <c r="L205" s="109" t="n"/>
      <c r="M205" s="109" t="n"/>
      <c r="N205" s="109" t="n"/>
      <c r="O205" s="109">
        <f>IF(OR(IF(K205="",IF(J205="",IF(I205="","",I205),J205),K205)="F", IF(N205="",IF(M205="",IF(L205="","",L205), M205),N205)="F")=TRUE,"F",
IF(OR(IF(K205="",IF(J205="",IF(I205="","",I205),J205),K205)="PE", IF(N205="",IF(M205="",IF(L205="","",L205), M205),N205)="PE")=TRUE,"PE",
IF(AND(IF(K205="",IF(J205="",IF(I205="","",I205),J205),K205)="", IF(N205="",IF(M205="",IF(L205="","",L205), M205),N205)="")=TRUE,"","P")))</f>
        <v/>
      </c>
      <c r="P205" s="176" t="n"/>
      <c r="Q205" s="176" t="n"/>
    </row>
    <row r="206" customFormat="1" s="99">
      <c r="A206" s="176" t="n"/>
      <c r="C206" s="98" t="n"/>
      <c r="D206" s="98" t="n"/>
      <c r="E206" s="106" t="n"/>
      <c r="F206" s="176" t="n"/>
      <c r="G206" s="108" t="n"/>
      <c r="H206" s="176" t="n"/>
      <c r="I206" s="109" t="n"/>
      <c r="J206" s="109" t="n"/>
      <c r="K206" s="109" t="n"/>
      <c r="L206" s="109" t="n"/>
      <c r="M206" s="109" t="n"/>
      <c r="N206" s="109" t="n"/>
      <c r="O206" s="109">
        <f>IF(OR(IF(K206="",IF(J206="",IF(I206="","",I206),J206),K206)="F", IF(N206="",IF(M206="",IF(L206="","",L206), M206),N206)="F")=TRUE,"F",
IF(OR(IF(K206="",IF(J206="",IF(I206="","",I206),J206),K206)="PE", IF(N206="",IF(M206="",IF(L206="","",L206), M206),N206)="PE")=TRUE,"PE",
IF(AND(IF(K206="",IF(J206="",IF(I206="","",I206),J206),K206)="", IF(N206="",IF(M206="",IF(L206="","",L206), M206),N206)="")=TRUE,"","P")))</f>
        <v/>
      </c>
      <c r="P206" s="176" t="n"/>
      <c r="Q206" s="176" t="n"/>
    </row>
  </sheetData>
  <autoFilter ref="N1:N19"/>
  <mergeCells count="14">
    <mergeCell ref="F13:F14"/>
    <mergeCell ref="H13:H14"/>
    <mergeCell ref="I13:K13"/>
    <mergeCell ref="P13:P14"/>
    <mergeCell ref="O13:O14"/>
    <mergeCell ref="E13:E14"/>
    <mergeCell ref="D13:D14"/>
    <mergeCell ref="B13:B14"/>
    <mergeCell ref="A13:A14"/>
    <mergeCell ref="G13:G14"/>
    <mergeCell ref="Q13:Q14"/>
    <mergeCell ref="L13:N13"/>
    <mergeCell ref="B1:F1"/>
    <mergeCell ref="C13:C14"/>
  </mergeCells>
  <conditionalFormatting sqref="N16:N206">
    <cfRule type="cellIs" priority="1" operator="equal" stopIfTrue="1">
      <formula>"P"</formula>
    </cfRule>
    <cfRule type="cellIs" priority="2" operator="equal" dxfId="1" stopIfTrue="1">
      <formula>"F"</formula>
    </cfRule>
    <cfRule type="cellIs" priority="3" operator="equal" dxfId="0" stopIfTrue="1">
      <formula>"PE"</formula>
    </cfRule>
  </conditionalFormatting>
  <dataValidations count="1">
    <dataValidation sqref="H1:M12 H16:M19 H20:M206 IE1:IJ12 IL1:IQ12 SA1:SF12 SH1:SM12 ABW1:ACB12 ACD1:ACI12 ALS1:ALX12 ALZ1:AME12 AVO1:AVT12 AVV1:AWA12 BFK1:BFP12 BFR1:BFW12 BPG1:BPL12 BPN1:BPS12 BZC1:BZH12 BZJ1:BZO12 CIY1:CJD12 CJF1:CJK12 CSU1:CSZ12 CTB1:CTG12 DCQ1:DCV12 DCX1:DDC12 DMM1:DMR12 DMT1:DMY12 DWI1:DWN12 DWP1:DWU12 EGE1:EGJ12 EGL1:EGQ12 EQA1:EQF12 EQH1:EQM12 EZW1:FAB12 FAD1:FAI12 FJS1:FJX12 FJZ1:FKE12 FTO1:FTT12 FTV1:FUA12 GDK1:GDP12 GDR1:GDW12 GNG1:GNL12 GNN1:GNS12 GXC1:GXH12 GXJ1:GXO12 HGY1:HHD12 HHF1:HHK12 HQU1:HQZ12 HRB1:HRG12 IAQ1:IAV12 IAX1:IBC12 IKM1:IKR12 IKT1:IKY12 IUI1:IUN12 IUP1:IUU12 JEE1:JEJ12 JEL1:JEQ12 JOA1:JOF12 JOH1:JOM12 JXW1:JYB12 JYD1:JYI12 KHS1:KHX12 KHZ1:KIE12 KRO1:KRT12 KRV1:KSA12 LBK1:LBP12 LBR1:LBW12 LLG1:LLL12 LLN1:LLS12 LVC1:LVH12 LVJ1:LVO12 MEY1:MFD12 MFF1:MFK12 MOU1:MOZ12 MPB1:MPG12 MYQ1:MYV12 MYX1:MZC12 NIM1:NIR12 NIT1:NIY12 NSI1:NSN12 NSP1:NSU12 OCE1:OCJ12 OCL1:OCQ12 OMA1:OMF12 OMH1:OMM12 OVW1:OWB12 OWD1:OWI12 PFS1:PFX12 PFZ1:PGE12 PPO1:PPT12 PPV1:PQA12 PZK1:PZP12 PZR1:PZW12 QJG1:QJL12 QJN1:QJS12 QTC1:QTH12 QTJ1:QTO12 RCY1:RDD12 RDF1:RDK12 RMU1:RMZ12 RNB1:RNG12 RWQ1:RWV12 RWX1:RXC12 SGM1:SGR12 SGT1:SGY12 SQI1:SQN12 SQP1:SQU12 TAE1:TAJ12 TAL1:TAQ12 TKA1:TKF12 TKH1:TKM12 TTW1:TUB12 TUD1:TUI12 UDS1:UDX12 UDZ1:UEE12 UNO1:UNT12 UNV1:UOA12 UXK1:UXP12 UXR1:UXW12 VHG1:VHL12 VHN1:VHS12 VRC1:VRH12 VRJ1:VRO12 WAY1:WBD12 WBF1:WBK12 WKU1:WKZ12 WLB1:WLG12" showDropDown="0" showInputMessage="1" showErrorMessage="1" allowBlank="1" type="list">
      <formula1>"P,F,PE"</formula1>
    </dataValidation>
  </dataValidations>
  <pageMargins left="0.7" right="0.7" top="0.75" bottom="0.75" header="0.3" footer="0.3"/>
  <pageSetup orientation="portrait" horizontalDpi="200" verticalDpi="2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K17" sqref="K17:K18"/>
    </sheetView>
  </sheetViews>
  <sheetFormatPr baseColWidth="8" defaultRowHeight="12.75"/>
  <sheetData>
    <row r="1">
      <c r="A1" s="92" t="inlineStr">
        <is>
          <t>select * from auto_recharge_setting where msisdn = '84961120855'; -- lưu thông tin đăng ký NTĐ của user</t>
        </is>
      </c>
    </row>
    <row r="2">
      <c r="A2" s="92" t="inlineStr">
        <is>
          <t>select * from auto_recharge_transaction; order by  created_time desc ; where core_order_id = '251112549030370'; -- Lưu event consume được từ kafka BĐSD hoặc Đăng ký hoặc kết quả nạp</t>
        </is>
      </c>
    </row>
    <row r="3">
      <c r="A3" s="92" t="inlineStr">
        <is>
          <t>select * from auto_recharge_transaction_history order by created_time desc ; where core_order_id = '01K9VM6GFQ28HC7XBG96EPX0MP'; -- Lưu khi đã xử lý xong (tức kết quả NTĐ core recharge trả về)</t>
        </is>
      </c>
    </row>
    <row r="4">
      <c r="A4" s="92" t="inlineStr">
        <is>
          <t>select * from auto_recharge_transaction_history where setting_id = '85' order by created_time desc ;</t>
        </is>
      </c>
    </row>
    <row r="5">
      <c r="A5" s="92" t="inlineStr">
        <is>
          <t>select * from auto_recharge_transaction; where setting_id = '71'; where reference_id = '109251121140915812';</t>
        </is>
      </c>
    </row>
    <row r="6">
      <c r="A6" s="92" t="inlineStr">
        <is>
          <t xml:space="preserve">    select * from auto_recharge_transaction where setting_id = '115' order by created_time desc;</t>
        </is>
      </c>
    </row>
    <row r="7">
      <c r="A7" s="92" t="inlineStr">
        <is>
          <t>select * from auto_recharge_transaction_history where reference_id = '109251121140915812' ;</t>
        </is>
      </c>
    </row>
    <row r="8">
      <c r="A8" s="92" t="inlineStr">
        <is>
          <t xml:space="preserve">    select * from global_config where param_name = 'min.recharge.amount' ; -- cấu hình min_amount</t>
        </is>
      </c>
    </row>
    <row r="9">
      <c r="A9" s="92" t="inlineStr">
        <is>
          <t>select * from global_config where param_name = 'process.max.retry.processing.count'; -- cấu hình max số lần retry xử lý lại</t>
        </is>
      </c>
    </row>
    <row r="10">
      <c r="A10" s="92" t="inlineStr">
        <is>
          <t>select * from global_config where param_name = 'process.retry.processing.interval'; -- time cách mỗi lần retry</t>
        </is>
      </c>
    </row>
    <row r="11">
      <c r="A11" s="92" t="inlineStr">
        <is>
          <t>select * from global_config where param_name = 'process.max.retry.query.result.count'; -- cấu hình retry tiến trình xử lý truy vấn kết quả timeout</t>
        </is>
      </c>
    </row>
    <row r="12">
      <c r="A12" s="92" t="inlineStr">
        <is>
          <t>select * from global_config where param_name = 'auto.recharge.whitelist.bankcode'; -- cấu hình được nạp vào nguồn tiền nào</t>
        </is>
      </c>
    </row>
    <row r="13">
      <c r="A13" s="92" t="inlineStr">
        <is>
          <t>select * from global_config where param_name = 'pending.transaction.max.delay.time'; -- thời gian tối đa chờ push yêu cầu Nạp tiền để xử lý tiếp queue</t>
        </is>
      </c>
    </row>
    <row r="14">
      <c r="A14" s="92" t="inlineStr">
        <is>
          <t>select * from global_config where param_name = 'process.retry.query.result.interval'; -- thời gian chờ gọi truy vấn kết quả khi biz recharge từ thời điểm yêu cầu nạp</t>
        </is>
      </c>
    </row>
    <row r="15">
      <c r="A15" s="92" t="inlineStr">
        <is>
          <t>select * from global_config where param_name = 'process.max.retry.query.result.count'; -- tần suất gọi process.retry.query.result.interval</t>
        </is>
      </c>
      <c r="B15" s="92" t="n"/>
    </row>
    <row r="16">
      <c r="A16" s="92" t="inlineStr">
        <is>
          <t>select * from global_config where param_name = 'send-core-recharge.mock.fail.flag'; -- giả lập push yêu cầu nạp tiền lên kafka fail</t>
        </is>
      </c>
    </row>
    <row r="17">
      <c r="A17" s="92" t="inlineStr">
        <is>
          <t>select * from global_config where param_name = 'scheduler.auto-recharge.retry-process.daily.limit'; -- Giới hạn bản ghi quét retry cuối ngày</t>
        </is>
      </c>
    </row>
    <row r="18">
      <c r="A18" s="111" t="n"/>
    </row>
    <row r="19">
      <c r="A19" s="112" t="inlineStr">
        <is>
          <t>/*</t>
        </is>
      </c>
    </row>
    <row r="20">
      <c r="A20" s="112" t="inlineStr">
        <is>
          <t>STATUS:</t>
        </is>
      </c>
    </row>
    <row r="21">
      <c r="A21" s="112" t="inlineStr">
        <is>
          <t>NEW(0), - khởi tạo</t>
        </is>
      </c>
    </row>
    <row r="22">
      <c r="A22" s="112" t="inlineStr">
        <is>
          <t>PENDING_DELAY(1), - queue</t>
        </is>
      </c>
    </row>
    <row r="23">
      <c r="A23" s="112" t="inlineStr">
        <is>
          <t>PROCESSING(2), - verify điều kiện nạp -&gt; chuẩn bị push số cần nạp cho core-recharge</t>
        </is>
      </c>
    </row>
    <row r="24">
      <c r="A24" s="112" t="inlineStr">
        <is>
          <t>SENDING(3), -- đang gửi yêu cầu nạp sang core-recharge</t>
        </is>
      </c>
    </row>
    <row r="25">
      <c r="A25" s="112" t="inlineStr">
        <is>
          <t>WAITING_RESULT(4), -- chờ kết quả nạp của core-recharge</t>
        </is>
      </c>
    </row>
    <row r="26">
      <c r="A26" s="112" t="inlineStr">
        <is>
          <t>SUCCESS(5), -- nạp thành công</t>
        </is>
      </c>
    </row>
    <row r="27">
      <c r="A27" s="112" t="inlineStr">
        <is>
          <t>FAILED(6), -- nạp thất bại</t>
        </is>
      </c>
    </row>
    <row r="28">
      <c r="A28" s="112" t="inlineStr">
        <is>
          <t>RETRYING(7), -- push lại yêu cầu nạp khi nạp timeout</t>
        </is>
      </c>
    </row>
    <row r="29">
      <c r="A29" s="112" t="inlineStr">
        <is>
          <t>QUERY_BALANCE_ERROR(8), -- truy vấn số dư sang customer fail</t>
        </is>
      </c>
    </row>
    <row r="30">
      <c r="A30" s="112" t="inlineStr">
        <is>
          <t>TIMEOUT(9), -- kết quả nạp timeout</t>
        </is>
      </c>
    </row>
    <row r="31">
      <c r="A31" s="112" t="inlineStr">
        <is>
          <t>CANCEL(10) -- cancel bản ghi không đủ điều kiện gửi yêu cầu nạp</t>
        </is>
      </c>
    </row>
    <row r="32">
      <c r="A32" s="112" t="inlineStr">
        <is>
          <t>RECHARGE_WAIT_CANCELLED(11) -- cancel khi quá X phút và max lần mà biz recharge vẫn trả timeout hoặc không trả kết quả</t>
        </is>
      </c>
    </row>
    <row r="33">
      <c r="A33" s="112" t="inlineStr">
        <is>
          <t xml:space="preserve"> */</t>
        </is>
      </c>
    </row>
    <row r="34">
      <c r="A34" s="113" t="inlineStr">
        <is>
          <t>PROCESS_STATUS:</t>
        </is>
      </c>
    </row>
    <row r="35">
      <c r="A35" s="113" t="inlineStr">
        <is>
          <t>PENDING(0), -- queue</t>
        </is>
      </c>
    </row>
    <row r="36">
      <c r="A36" s="113" t="inlineStr">
        <is>
          <t>PROCESSING(1), -- đang chạy</t>
        </is>
      </c>
    </row>
    <row r="37">
      <c r="A37" s="113" t="inlineStr">
        <is>
          <t>FINISH(2) -- hoàn thành</t>
        </is>
      </c>
    </row>
    <row r="38">
      <c r="A38" s="113" t="inlineStr">
        <is>
          <t>*/</t>
        </is>
      </c>
    </row>
    <row r="39">
      <c r="A39" s="113" t="inlineStr">
        <is>
          <t xml:space="preserve"> */</t>
        </is>
      </c>
    </row>
    <row r="40">
      <c r="A40" s="112" t="inlineStr">
        <is>
          <t>-- topic kafka:</t>
        </is>
      </c>
    </row>
    <row r="41">
      <c r="A41" s="113" t="inlineStr">
        <is>
          <t>AUTO_RECHARGE_SETTING: Consume cấu hình thông tin user đăng ký NTĐ</t>
        </is>
      </c>
    </row>
    <row r="42">
      <c r="A42" s="113" t="inlineStr">
        <is>
          <t xml:space="preserve">    {</t>
        </is>
      </c>
    </row>
    <row r="43">
      <c r="A43" s="113" t="inlineStr">
        <is>
          <t xml:space="preserve">   "id": 3,</t>
        </is>
      </c>
    </row>
    <row r="44">
      <c r="A44" s="92" t="inlineStr">
        <is>
          <t xml:space="preserve">   "requestId": 17624125125709,</t>
        </is>
      </c>
    </row>
    <row r="45">
      <c r="A45" s="92" t="inlineStr">
        <is>
          <t xml:space="preserve">   "accountId": "01GR66PBESS49Z132RVA19KHDY",</t>
        </is>
      </c>
    </row>
    <row r="46">
      <c r="A46" s="92" t="inlineStr">
        <is>
          <t xml:space="preserve">   "msisdn": "84983725525",</t>
        </is>
      </c>
    </row>
    <row r="47">
      <c r="A47" s="92" t="inlineStr">
        <is>
          <t xml:space="preserve">   "accountNo": null,</t>
        </is>
      </c>
    </row>
    <row r="48">
      <c r="A48" s="92" t="inlineStr">
        <is>
          <t xml:space="preserve">   "moneySourceTargetCode": "VTT",</t>
        </is>
      </c>
    </row>
    <row r="49">
      <c r="A49" s="92" t="inlineStr">
        <is>
          <t xml:space="preserve">   "autoRechargeType": "BALANCE", -- balance/epass -&gt; phase này chỉ gồm balance</t>
        </is>
      </c>
    </row>
    <row r="50">
      <c r="A50" s="112" t="inlineStr">
        <is>
          <t xml:space="preserve">   "rechargeConditionAmount": 250000000,</t>
        </is>
      </c>
    </row>
    <row r="51">
      <c r="A51" s="92" t="inlineStr">
        <is>
          <t xml:space="preserve">   "action": "UPDATE" -- create: đăng ký, update: chỉnh sửa cấu hình, cancel: huỷ đăng ký NTĐ</t>
        </is>
      </c>
    </row>
    <row r="52">
      <c r="A52" s="113" t="inlineStr">
        <is>
          <t>}</t>
        </is>
      </c>
    </row>
    <row r="53">
      <c r="A53" s="113" t="inlineStr">
        <is>
          <t>G_NOTIFICATION_GET_MESSAGE_EVENT_STAGING: event BDSD đẩy lên topic này</t>
        </is>
      </c>
    </row>
    <row r="54">
      <c r="A54" s="113" t="inlineStr">
        <is>
          <t>VARM-THIRD-PARTY-RECHARGE-REQUEST-REPLY: topic kết quả nạp tiền core-recharge trả</t>
        </is>
      </c>
    </row>
    <row r="55">
      <c r="A55" s="113" t="inlineStr">
        <is>
          <t>VARM-THIRD-PARTY-RECHARGE-REQUEST: topic gửi yêu cầu nạp tiền sang core-recharge</t>
        </is>
      </c>
    </row>
    <row r="56">
      <c r="A56" s="113" t="inlineStr">
        <is>
          <t>AUTO_RECHARGE_INTERNAL_COMMAND: topic trung gian, để xử lý 3 event của 3 topic AUTO_RECHARGE_SETTING,G_NOTIFICATION_GET_MESSAGE_EVENT_STAGING,VARM-THIRD-PARTY-RECHARGE-REQUEST-REPLY -&gt; phục vụ case chỉ xử lý 1 event 1 lần cho đến khi có kết quả cuối</t>
        </is>
      </c>
    </row>
    <row r="57">
      <c r="A57" s="113" t="inlineStr">
        <is>
          <t xml:space="preserve">    {</t>
        </is>
      </c>
    </row>
    <row r="58">
      <c r="A58" s="113" t="inlineStr">
        <is>
          <t xml:space="preserve">   "commandId": null,</t>
        </is>
      </c>
    </row>
    <row r="59">
      <c r="A59" s="92" t="inlineStr">
        <is>
          <t xml:space="preserve">   "commandType": "new_command",</t>
        </is>
      </c>
    </row>
    <row r="60">
      <c r="A60" s="92" t="inlineStr">
        <is>
          <t xml:space="preserve">   "settingId": 3,</t>
        </is>
      </c>
    </row>
    <row r="61">
      <c r="A61" s="92" t="inlineStr">
        <is>
          <t xml:space="preserve">   "referenceId": 17624125125710,</t>
        </is>
      </c>
    </row>
    <row r="62">
      <c r="A62" s="92" t="inlineStr">
        <is>
          <t xml:space="preserve">   "status": 0, -- 0: new</t>
        </is>
      </c>
    </row>
    <row r="63">
      <c r="A63" s="112" t="inlineStr">
        <is>
          <t xml:space="preserve">   "eventType": 1, -- 1: đký, cập nhật, 0: BDSD</t>
        </is>
      </c>
    </row>
    <row r="64">
      <c r="A64" s="112" t="inlineStr">
        <is>
          <t xml:space="preserve">   "result": null</t>
        </is>
      </c>
    </row>
    <row r="65">
      <c r="A65" s="113" t="inlineStr">
        <is>
          <t>}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Os_rikkei_quannt2</dc:creator>
  <dc:language>en-US</dc:language>
  <dcterms:created xsi:type="dcterms:W3CDTF">2023-05-05T09:00:53Z</dcterms:created>
  <dcterms:modified xsi:type="dcterms:W3CDTF">2026-05-27T02:53:32Z</dcterms:modified>
  <cp:lastModifiedBy>Yen Nguyen</cp:lastModifiedBy>
  <cp:revision>59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TCat_09c01351-0e12-4e27-97e5-ee762f104039_Version" fmtid="{D5CDD505-2E9C-101B-9397-08002B2CF9AE}" pid="2">
    <vt:lpwstr>1</vt:lpwstr>
  </property>
  <property name="STCat_09c01351-0e12-4e27-97e5-ee762f104039_Id" fmtid="{D5CDD505-2E9C-101B-9397-08002B2CF9AE}" pid="3">
    <vt:lpwstr>09c01351-0e12-4e27-97e5-ee762f104039</vt:lpwstr>
  </property>
  <property name="STCat_09c01351-0e12-4e27-97e5-ee762f104039_Name" fmtid="{D5CDD505-2E9C-101B-9397-08002B2CF9AE}" pid="4">
    <vt:lpwstr>[Tagging] VOffice</vt:lpwstr>
  </property>
</Properties>
</file>